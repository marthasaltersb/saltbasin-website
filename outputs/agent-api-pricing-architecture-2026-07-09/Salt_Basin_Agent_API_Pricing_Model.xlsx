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0b1f74445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9f6424fcf74403"/>
    <x:sheet xmlns:r="http://schemas.openxmlformats.org/officeDocument/2006/relationships" name="Assumptions" sheetId="2" r:id="R664ccf3e79f64466"/>
    <x:sheet xmlns:r="http://schemas.openxmlformats.org/officeDocument/2006/relationships" name="API Catalog" sheetId="3" r:id="R25385a6e31a441cd"/>
    <x:sheet xmlns:r="http://schemas.openxmlformats.org/officeDocument/2006/relationships" name="Scenarios" sheetId="4" r:id="Raf53a9830e5d4d67"/>
    <x:sheet xmlns:r="http://schemas.openxmlformats.org/officeDocument/2006/relationships" name="Margin Sensitivity" sheetId="5" r:id="Rbe3bd43cea064464"/>
    <x:sheet xmlns:r="http://schemas.openxmlformats.org/officeDocument/2006/relationships" name="Token Architecture" sheetId="6" r:id="R5faf753924bb4a0f"/>
    <x:sheet xmlns:r="http://schemas.openxmlformats.org/officeDocument/2006/relationships" name="Advisory Services" sheetId="7" r:id="R1884b95176644ba0"/>
    <x:sheet xmlns:r="http://schemas.openxmlformats.org/officeDocument/2006/relationships" name="Checks" sheetId="8" r:id="Rc20693a991a0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$0.000"/>
    <x:numFmt numFmtId="202" formatCode="$0.00"/>
    <x:numFmt numFmtId="203" formatCode="$#,##0"/>
    <x:numFmt numFmtId="204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8FAFC"/>
      </x:patternFill>
    </x:fill>
    <x:fill>
      <x:patternFill patternType="solid">
        <x:fgColor rgb="FF1F7A76"/>
      </x:patternFill>
    </x:fill>
    <x:fill>
      <x:patternFill patternType="solid">
        <x:fgColor rgb="FFDDEDEA"/>
      </x:patternFill>
    </x:fill>
    <x:fill>
      <x:patternFill patternType="solid">
        <x:fgColor rgb="FFF6EBD8"/>
      </x:patternFill>
    </x:fill>
  </x:fills>
  <x:borders count="38">
    <x:border/>
    <x:border>
      <x:left style="thin">
        <x:color rgb="FF1F7A76"/>
      </x:left>
      <x:top style="thin">
        <x:color rgb="FF1F7A76"/>
      </x:top>
      <x:bottom style="thin">
        <x:color rgb="FF1F7A76"/>
      </x:bottom>
    </x:border>
    <x:border>
      <x:top style="thin">
        <x:color rgb="FF1F7A76"/>
      </x:top>
      <x:bottom style="thin">
        <x:color rgb="FF1F7A76"/>
      </x:bottom>
    </x:border>
    <x:border>
      <x:right style="thin">
        <x:color rgb="FF1F7A76"/>
      </x:right>
      <x:top style="thin">
        <x:color rgb="FF1F7A76"/>
      </x:top>
      <x:bottom style="thin">
        <x:color rgb="FF1F7A76"/>
      </x:bottom>
    </x:border>
    <x:border>
      <x:left style="thin">
        <x:color rgb="FFA6CFC9"/>
      </x:left>
      <x:top style="thin">
        <x:color rgb="FFA6CFC9"/>
      </x:top>
    </x:border>
    <x:border>
      <x:top style="thin">
        <x:color rgb="FFA6CFC9"/>
      </x:top>
    </x:border>
    <x:border>
      <x:right style="thin">
        <x:color rgb="FFA6CFC9"/>
      </x:right>
      <x:top style="thin">
        <x:color rgb="FFA6CFC9"/>
      </x:top>
    </x:border>
    <x:border>
      <x:left style="thin">
        <x:color rgb="FFA6CFC9"/>
      </x:left>
    </x:border>
    <x:border>
      <x:right style="thin">
        <x:color rgb="FFA6CFC9"/>
      </x:right>
    </x:border>
    <x:border>
      <x:left style="thin">
        <x:color rgb="FFA6CFC9"/>
      </x:left>
      <x:bottom style="thin">
        <x:color rgb="FFA6CFC9"/>
      </x:bottom>
    </x:border>
    <x:border>
      <x:bottom style="thin">
        <x:color rgb="FFA6CFC9"/>
      </x:bottom>
    </x:border>
    <x:border>
      <x:right style="thin">
        <x:color rgb="FFA6CFC9"/>
      </x:right>
      <x:bottom style="thin">
        <x:color rgb="FFA6CFC9"/>
      </x:bottom>
    </x:border>
    <x:border>
      <x:left style="thin">
        <x:color rgb="FFE3C68D"/>
      </x:left>
      <x:right style="thin">
        <x:color rgb="FFE3C68D"/>
      </x:right>
      <x:top style="thin">
        <x:color rgb="FFE3C68D"/>
      </x:top>
    </x:border>
    <x:border>
      <x:left style="thin">
        <x:color rgb="FFE3C68D"/>
      </x:left>
      <x:right style="thin">
        <x:color rgb="FFE3C68D"/>
      </x:right>
    </x:border>
    <x:border>
      <x:left style="thin">
        <x:color rgb="FFE3C68D"/>
      </x:left>
      <x:right style="thin">
        <x:color rgb="FFE3C68D"/>
      </x:right>
      <x:bottom style="thin">
        <x:color rgb="FFE3C68D"/>
      </x:bottom>
    </x:border>
    <x:border>
      <x:left style="thin">
        <x:color rgb="FF1F7A76"/>
      </x:left>
      <x:right style="thin">
        <x:color rgb="FFE2E8F0"/>
      </x:right>
      <x:top style="thin">
        <x:color rgb="FF1F7A76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1F7A76"/>
      </x:top>
      <x:bottom style="thin">
        <x:color rgb="FFE2E8F0"/>
      </x:bottom>
    </x:border>
    <x:border>
      <x:left style="thin">
        <x:color rgb="FFE2E8F0"/>
      </x:left>
      <x:top style="thin">
        <x:color rgb="FF1F7A76"/>
      </x:top>
      <x:bottom style="thin">
        <x:color rgb="FFE2E8F0"/>
      </x:bottom>
    </x:border>
    <x:border>
      <x:left style="thin">
        <x:color rgb="FF1F7A76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1F7A76"/>
      </x:left>
      <x:right style="thin">
        <x:color rgb="FFE2E8F0"/>
      </x:right>
      <x:top style="thin">
        <x:color rgb="FFE2E8F0"/>
      </x:top>
      <x:bottom style="thin">
        <x:color rgb="FF1F7A76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1F7A76"/>
      </x:bottom>
    </x:border>
    <x:border>
      <x:left style="thin">
        <x:color rgb="FFE2E8F0"/>
      </x:left>
      <x:top style="thin">
        <x:color rgb="FFE2E8F0"/>
      </x:top>
      <x:bottom style="thin">
        <x:color rgb="FF1F7A76"/>
      </x:bottom>
    </x:border>
    <x:border>
      <x:left style="thin">
        <x:color rgb="FFE3C68D"/>
      </x:left>
      <x:top style="thin">
        <x:color rgb="FFE3C68D"/>
      </x:top>
    </x:border>
    <x:border>
      <x:top style="thin">
        <x:color rgb="FFE3C68D"/>
      </x:top>
    </x:border>
    <x:border>
      <x:right style="thin">
        <x:color rgb="FFE3C68D"/>
      </x:right>
      <x:top style="thin">
        <x:color rgb="FFE3C68D"/>
      </x:top>
    </x:border>
    <x:border>
      <x:left style="thin">
        <x:color rgb="FFE3C68D"/>
      </x:left>
    </x:border>
    <x:border>
      <x:right style="thin">
        <x:color rgb="FFE3C68D"/>
      </x:right>
    </x:border>
    <x:border>
      <x:left style="thin">
        <x:color rgb="FFE3C68D"/>
      </x:left>
      <x:bottom style="thin">
        <x:color rgb="FFE3C68D"/>
      </x:bottom>
    </x:border>
    <x:border>
      <x:bottom style="thin">
        <x:color rgb="FFE3C68D"/>
      </x:bottom>
    </x:border>
    <x:border>
      <x:right style="thin">
        <x:color rgb="FFE3C68D"/>
      </x:right>
      <x:bottom style="thin">
        <x:color rgb="FFE3C68D"/>
      </x:bottom>
    </x:border>
    <x:border>
      <x:left style="thin">
        <x:color rgb="FFA6CFC9"/>
      </x:left>
      <x:right style="thin">
        <x:color rgb="FFA6CFC9"/>
      </x:right>
      <x:top style="thin">
        <x:color rgb="FFA6CFC9"/>
      </x:top>
    </x:border>
    <x:border>
      <x:left style="thin">
        <x:color rgb="FFA6CFC9"/>
      </x:left>
      <x:right style="thin">
        <x:color rgb="FFA6CFC9"/>
      </x:right>
    </x:border>
    <x:border>
      <x:left style="thin">
        <x:color rgb="FFA6CFC9"/>
      </x:left>
      <x:right style="thin">
        <x:color rgb="FFA6CFC9"/>
      </x:right>
      <x:bottom style="thin">
        <x:color rgb="FFA6CFC9"/>
      </x:bottom>
    </x:border>
    <x:border>
      <x:left style="thin">
        <x:color rgb="FFA6CFC9"/>
      </x:left>
      <x:top style="thin">
        <x:color rgb="FFA6CFC9"/>
      </x:top>
      <x:bottom style="thin">
        <x:color rgb="FFA6CFC9"/>
      </x:bottom>
    </x:border>
    <x:border>
      <x:top style="thin">
        <x:color rgb="FFA6CFC9"/>
      </x:top>
      <x:bottom style="thin">
        <x:color rgb="FFA6CFC9"/>
      </x:bottom>
    </x:border>
    <x:border>
      <x:right style="thin">
        <x:color rgb="FFA6CFC9"/>
      </x:right>
      <x:top style="thin">
        <x:color rgb="FFA6CFC9"/>
      </x:top>
      <x:bottom style="thin">
        <x:color rgb="FFA6CFC9"/>
      </x:bottom>
    </x:border>
  </x:borders>
  <x:cellStyleXfs count="1">
    <x:xf numFmtId="0" fontId="0" fillId="0" borderId="0"/>
  </x:cellStyleXfs>
  <x:cellXfs count="2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0" fillId="6" borderId="12" xfId="0" applyNumberFormat="1" applyFont="1" applyFill="1" applyBorder="1"/>
    <x:xf numFmtId="200" fontId="0" fillId="6" borderId="13" xfId="0" applyNumberFormat="1" applyFont="1" applyFill="1" applyBorder="1"/>
    <x:xf numFmtId="201" fontId="0" fillId="6" borderId="13" xfId="0" applyNumberFormat="1" applyFont="1" applyFill="1" applyBorder="1"/>
    <x:xf numFmtId="201" fontId="0" fillId="6" borderId="14" xfId="0" applyNumberFormat="1" applyFont="1" applyFill="1" applyBorder="1"/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200" fontId="0" fillId="6" borderId="19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201" fontId="0" fillId="6" borderId="19" xfId="0" applyNumberFormat="1" applyFont="1" applyFill="1" applyBorder="1"/>
    <x:xf numFmtId="0" fontId="0" fillId="0" borderId="21" xfId="0" applyNumberFormat="1" applyFont="1" applyFill="1" applyBorder="1"/>
    <x:xf numFmtId="201" fontId="0" fillId="6" borderId="22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2" fontId="0" fillId="0" borderId="0" xfId="0" applyNumberFormat="1" applyFont="1" applyFill="1" applyBorder="1"/>
    <x:xf numFmtId="202" fontId="0" fillId="0" borderId="19" xfId="0" applyNumberFormat="1" applyFont="1" applyFill="1" applyBorder="1"/>
    <x:xf numFmtId="202" fontId="0" fillId="0" borderId="22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6" xfId="0" applyNumberFormat="1" applyFont="1" applyFill="1" applyBorder="1"/>
    <x:xf numFmtId="0" fontId="0" fillId="6" borderId="27" xfId="0" applyNumberFormat="1" applyFont="1" applyFill="1" applyBorder="1"/>
    <x:xf numFmtId="0" fontId="0" fillId="6" borderId="28" xfId="0" applyNumberFormat="1" applyFont="1" applyFill="1" applyBorder="1"/>
    <x:xf numFmtId="0" fontId="0" fillId="6" borderId="29" xfId="0" applyNumberFormat="1" applyFont="1" applyFill="1" applyBorder="1"/>
    <x:xf numFmtId="0" fontId="0" fillId="6" borderId="30" xfId="0" applyNumberFormat="1" applyFont="1" applyFill="1" applyBorder="1"/>
    <x:xf numFmtId="0" fontId="0" fillId="6" borderId="31" xfId="0" applyNumberFormat="1" applyFont="1" applyFill="1" applyBorder="1"/>
    <x:xf numFmtId="0" fontId="0" fillId="5" borderId="32" xfId="0" applyNumberFormat="1" applyFont="1" applyFill="1" applyBorder="1"/>
    <x:xf numFmtId="0" fontId="0" fillId="5" borderId="33" xfId="0" applyNumberFormat="1" applyFont="1" applyFill="1" applyBorder="1"/>
    <x:xf numFmtId="0" fontId="0" fillId="5" borderId="34" xfId="0" applyNumberFormat="1" applyFont="1" applyFill="1" applyBorder="1"/>
    <x:xf numFmtId="203" fontId="0" fillId="6" borderId="24" xfId="0" applyNumberFormat="1" applyFont="1" applyFill="1" applyBorder="1"/>
    <x:xf numFmtId="203" fontId="0" fillId="6" borderId="25" xfId="0" applyNumberFormat="1" applyFont="1" applyFill="1" applyBorder="1"/>
    <x:xf numFmtId="203" fontId="0" fillId="6" borderId="27" xfId="0" applyNumberFormat="1" applyFont="1" applyFill="1" applyBorder="1"/>
    <x:xf numFmtId="203" fontId="0" fillId="6" borderId="0" xfId="0" applyNumberFormat="1" applyFont="1" applyFill="1" applyBorder="1"/>
    <x:xf numFmtId="203" fontId="0" fillId="6" borderId="29" xfId="0" applyNumberFormat="1" applyFont="1" applyFill="1" applyBorder="1"/>
    <x:xf numFmtId="203" fontId="0" fillId="6" borderId="30" xfId="0" applyNumberFormat="1" applyFont="1" applyFill="1" applyBorder="1"/>
    <x:xf numFmtId="204" fontId="0" fillId="6" borderId="25" xfId="0" applyNumberFormat="1" applyFont="1" applyFill="1" applyBorder="1"/>
    <x:xf numFmtId="204" fontId="0" fillId="6" borderId="0" xfId="0" applyNumberFormat="1" applyFont="1" applyFill="1" applyBorder="1"/>
    <x:xf numFmtId="204" fontId="0" fillId="6" borderId="30" xfId="0" applyNumberFormat="1" applyFont="1" applyFill="1" applyBorder="1"/>
    <x:xf numFmtId="200" fontId="0" fillId="6" borderId="25" xfId="0" applyNumberFormat="1" applyFont="1" applyFill="1" applyBorder="1"/>
    <x:xf numFmtId="200" fontId="0" fillId="6" borderId="0" xfId="0" applyNumberFormat="1" applyFont="1" applyFill="1" applyBorder="1"/>
    <x:xf numFmtId="200" fontId="0" fillId="6" borderId="30" xfId="0" applyNumberFormat="1" applyFont="1" applyFill="1" applyBorder="1"/>
    <x:xf numFmtId="201" fontId="0" fillId="6" borderId="26" xfId="0" applyNumberFormat="1" applyFont="1" applyFill="1" applyBorder="1"/>
    <x:xf numFmtId="201" fontId="0" fillId="5" borderId="4" xfId="0" applyNumberFormat="1" applyFont="1" applyFill="1" applyBorder="1"/>
    <x:xf numFmtId="201" fontId="0" fillId="5" borderId="5" xfId="0" applyNumberFormat="1" applyFont="1" applyFill="1" applyBorder="1"/>
    <x:xf numFmtId="201" fontId="0" fillId="6" borderId="28" xfId="0" applyNumberFormat="1" applyFont="1" applyFill="1" applyBorder="1"/>
    <x:xf numFmtId="201" fontId="0" fillId="5" borderId="7" xfId="0" applyNumberFormat="1" applyFont="1" applyFill="1" applyBorder="1"/>
    <x:xf numFmtId="201" fontId="0" fillId="5" borderId="0" xfId="0" applyNumberFormat="1" applyFont="1" applyFill="1" applyBorder="1"/>
    <x:xf numFmtId="201" fontId="0" fillId="6" borderId="31" xfId="0" applyNumberFormat="1" applyFont="1" applyFill="1" applyBorder="1"/>
    <x:xf numFmtId="201" fontId="0" fillId="5" borderId="9" xfId="0" applyNumberFormat="1" applyFont="1" applyFill="1" applyBorder="1"/>
    <x:xf numFmtId="201" fontId="0" fillId="5" borderId="10" xfId="0" applyNumberFormat="1" applyFont="1" applyFill="1" applyBorder="1"/>
    <x:xf numFmtId="200" fontId="0" fillId="5" borderId="5" xfId="0" applyNumberFormat="1" applyFont="1" applyFill="1" applyBorder="1"/>
    <x:xf numFmtId="200" fontId="0" fillId="5" borderId="0" xfId="0" applyNumberFormat="1" applyFont="1" applyFill="1" applyBorder="1"/>
    <x:xf numFmtId="200" fontId="0" fillId="5" borderId="10" xfId="0" applyNumberFormat="1" applyFont="1" applyFill="1" applyBorder="1"/>
    <x:xf numFmtId="202" fontId="0" fillId="5" borderId="5" xfId="0" applyNumberFormat="1" applyFont="1" applyFill="1" applyBorder="1"/>
    <x:xf numFmtId="202" fontId="0" fillId="5" borderId="0" xfId="0" applyNumberFormat="1" applyFont="1" applyFill="1" applyBorder="1"/>
    <x:xf numFmtId="202" fontId="0" fillId="5" borderId="10" xfId="0" applyNumberFormat="1" applyFont="1" applyFill="1" applyBorder="1"/>
    <x:xf numFmtId="203" fontId="0" fillId="5" borderId="5" xfId="0" applyNumberFormat="1" applyFont="1" applyFill="1" applyBorder="1"/>
    <x:xf numFmtId="203" fontId="0" fillId="5" borderId="0" xfId="0" applyNumberFormat="1" applyFont="1" applyFill="1" applyBorder="1"/>
    <x:xf numFmtId="203" fontId="0" fillId="5" borderId="10" xfId="0" applyNumberFormat="1" applyFont="1" applyFill="1" applyBorder="1"/>
    <x:xf numFmtId="200" fontId="0" fillId="5" borderId="6" xfId="0" applyNumberFormat="1" applyFont="1" applyFill="1" applyBorder="1"/>
    <x:xf numFmtId="200" fontId="0" fillId="5" borderId="8" xfId="0" applyNumberFormat="1" applyFont="1" applyFill="1" applyBorder="1"/>
    <x:xf numFmtId="200" fontId="0" fillId="5" borderId="11" xfId="0" applyNumberFormat="1" applyFont="1" applyFill="1" applyBorder="1"/>
    <x:xf numFmtId="203" fontId="0" fillId="6" borderId="12" xfId="0" applyNumberFormat="1" applyFont="1" applyFill="1" applyBorder="1"/>
    <x:xf numFmtId="203" fontId="0" fillId="5" borderId="32" xfId="0" applyNumberFormat="1" applyFont="1" applyFill="1" applyBorder="1"/>
    <x:xf numFmtId="203" fontId="0" fillId="6" borderId="13" xfId="0" applyNumberFormat="1" applyFont="1" applyFill="1" applyBorder="1"/>
    <x:xf numFmtId="203" fontId="0" fillId="5" borderId="33" xfId="0" applyNumberFormat="1" applyFont="1" applyFill="1" applyBorder="1"/>
    <x:xf numFmtId="203" fontId="0" fillId="6" borderId="14" xfId="0" applyNumberFormat="1" applyFont="1" applyFill="1" applyBorder="1"/>
    <x:xf numFmtId="203" fontId="0" fillId="5" borderId="34" xfId="0" applyNumberFormat="1" applyFont="1" applyFill="1" applyBorder="1"/>
    <x:xf numFmtId="203" fontId="0" fillId="6" borderId="19" xfId="0" applyNumberFormat="1" applyFont="1" applyFill="1" applyBorder="1"/>
    <x:xf numFmtId="0" fontId="0" fillId="6" borderId="19" xfId="0" applyNumberFormat="1" applyFont="1" applyFill="1" applyBorder="1"/>
    <x:xf numFmtId="204" fontId="0" fillId="6" borderId="19" xfId="0" applyNumberFormat="1" applyFont="1" applyFill="1" applyBorder="1"/>
    <x:xf numFmtId="201" fontId="0" fillId="5" borderId="19" xfId="0" applyNumberFormat="1" applyFont="1" applyFill="1" applyBorder="1"/>
    <x:xf numFmtId="200" fontId="0" fillId="5" borderId="19" xfId="0" applyNumberFormat="1" applyFont="1" applyFill="1" applyBorder="1"/>
    <x:xf numFmtId="202" fontId="0" fillId="5" borderId="19" xfId="0" applyNumberFormat="1" applyFont="1" applyFill="1" applyBorder="1"/>
    <x:xf numFmtId="203" fontId="0" fillId="5" borderId="19" xfId="0" applyNumberFormat="1" applyFont="1" applyFill="1" applyBorder="1"/>
    <x:xf numFmtId="203" fontId="0" fillId="5" borderId="20" xfId="0" applyNumberFormat="1" applyFont="1" applyFill="1" applyBorder="1"/>
    <x:xf numFmtId="203" fontId="0" fillId="6" borderId="22" xfId="0" applyNumberFormat="1" applyFont="1" applyFill="1" applyBorder="1"/>
    <x:xf numFmtId="0" fontId="0" fillId="6" borderId="22" xfId="0" applyNumberFormat="1" applyFont="1" applyFill="1" applyBorder="1"/>
    <x:xf numFmtId="204" fontId="0" fillId="6" borderId="22" xfId="0" applyNumberFormat="1" applyFont="1" applyFill="1" applyBorder="1"/>
    <x:xf numFmtId="200" fontId="0" fillId="6" borderId="22" xfId="0" applyNumberFormat="1" applyFont="1" applyFill="1" applyBorder="1"/>
    <x:xf numFmtId="201" fontId="0" fillId="5" borderId="22" xfId="0" applyNumberFormat="1" applyFont="1" applyFill="1" applyBorder="1"/>
    <x:xf numFmtId="200" fontId="0" fillId="5" borderId="22" xfId="0" applyNumberFormat="1" applyFont="1" applyFill="1" applyBorder="1"/>
    <x:xf numFmtId="202" fontId="0" fillId="5" borderId="22" xfId="0" applyNumberFormat="1" applyFont="1" applyFill="1" applyBorder="1"/>
    <x:xf numFmtId="203" fontId="0" fillId="5" borderId="22" xfId="0" applyNumberFormat="1" applyFont="1" applyFill="1" applyBorder="1"/>
    <x:xf numFmtId="203" fontId="0" fillId="5" borderId="23" xfId="0" applyNumberFormat="1" applyFont="1" applyFill="1" applyBorder="1"/>
    <x:xf numFmtId="202" fontId="0" fillId="5" borderId="6" xfId="0" applyNumberFormat="1" applyFont="1" applyFill="1" applyBorder="1"/>
    <x:xf numFmtId="202" fontId="0" fillId="5" borderId="8" xfId="0" applyNumberFormat="1" applyFont="1" applyFill="1" applyBorder="1"/>
    <x:xf numFmtId="202" fontId="0" fillId="5" borderId="11" xfId="0" applyNumberFormat="1" applyFont="1" applyFill="1" applyBorder="1"/>
    <x:xf numFmtId="0" fontId="0" fillId="5" borderId="35" xfId="0" applyNumberFormat="1" applyFont="1" applyFill="1" applyBorder="1"/>
    <x:xf numFmtId="202" fontId="0" fillId="5" borderId="36" xfId="0" applyNumberFormat="1" applyFont="1" applyFill="1" applyBorder="1"/>
    <x:xf numFmtId="202" fontId="0" fillId="5" borderId="37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5" borderId="4" xfId="0" applyNumberFormat="1" applyFont="1" applyFill="1" applyBorder="1"/>
    <x:xf numFmtId="203" fontId="0" fillId="5" borderId="6" xfId="0" applyNumberFormat="1" applyFont="1" applyFill="1" applyBorder="1"/>
    <x:xf numFmtId="200" fontId="0" fillId="5" borderId="7" xfId="0" applyNumberFormat="1" applyFont="1" applyFill="1" applyBorder="1"/>
    <x:xf numFmtId="203" fontId="0" fillId="5" borderId="8" xfId="0" applyNumberFormat="1" applyFont="1" applyFill="1" applyBorder="1"/>
    <x:xf numFmtId="200" fontId="0" fillId="5" borderId="9" xfId="0" applyNumberFormat="1" applyFont="1" applyFill="1" applyBorder="1"/>
    <x:xf numFmtId="203" fontId="0" fillId="5" borderId="11" xfId="0" applyNumberFormat="1" applyFont="1" applyFill="1" applyBorder="1"/>
    <x:xf numFmtId="204" fontId="0" fillId="0" borderId="0" xfId="0" applyNumberFormat="1" applyFont="1" applyFill="1" applyBorder="1"/>
    <x:xf numFmtId="204" fontId="0" fillId="5" borderId="0" xfId="0" applyNumberFormat="1" applyFont="1" applyFill="1" applyBorder="1"/>
    <x:xf numFmtId="204" fontId="0" fillId="5" borderId="1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wrapText="1"/>
    </x:xf>
    <x:xf numFmtId="200" fontId="0" fillId="6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201" fontId="0" fillId="6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201" fontId="0" fillId="6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horizontal="center" vertical="top" wrapText="1"/>
    </x:xf>
    <x:xf numFmtId="0" fontId="3" fillId="4" borderId="16" xfId="0" applyNumberFormat="1" applyFont="1" applyFill="1" applyBorder="1" applyAlignment="1">
      <x:alignment horizontal="center" vertical="top" wrapText="1"/>
    </x:xf>
    <x:xf numFmtId="0" fontId="3" fillId="4" borderId="17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200" fontId="0" fillId="6" borderId="19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201" fontId="0" fillId="6" borderId="19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201" fontId="0" fillId="6" borderId="22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2" fontId="0" fillId="0" borderId="19" xfId="0" applyNumberFormat="1" applyFont="1" applyFill="1" applyBorder="1" applyAlignment="1">
      <x:alignment wrapText="1"/>
    </x:xf>
    <x:xf numFmtId="202" fontId="0" fillId="0" borderId="22" xfId="0" applyNumberFormat="1" applyFont="1" applyFill="1" applyBorder="1" applyAlignment="1">
      <x:alignment wrapText="1"/>
    </x:xf>
    <x:xf numFmtId="202" fontId="0" fillId="0" borderId="19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3" fontId="0" fillId="6" borderId="19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204" fontId="0" fillId="6" borderId="19" xfId="0" applyNumberFormat="1" applyFont="1" applyFill="1" applyBorder="1" applyAlignment="1">
      <x:alignment wrapText="1"/>
    </x:xf>
    <x:xf numFmtId="201" fontId="0" fillId="5" borderId="19" xfId="0" applyNumberFormat="1" applyFont="1" applyFill="1" applyBorder="1" applyAlignment="1">
      <x:alignment wrapText="1"/>
    </x:xf>
    <x:xf numFmtId="200" fontId="0" fillId="5" borderId="19" xfId="0" applyNumberFormat="1" applyFont="1" applyFill="1" applyBorder="1" applyAlignment="1">
      <x:alignment wrapText="1"/>
    </x:xf>
    <x:xf numFmtId="202" fontId="0" fillId="5" borderId="19" xfId="0" applyNumberFormat="1" applyFont="1" applyFill="1" applyBorder="1" applyAlignment="1">
      <x:alignment wrapText="1"/>
    </x:xf>
    <x:xf numFmtId="203" fontId="0" fillId="5" borderId="19" xfId="0" applyNumberFormat="1" applyFont="1" applyFill="1" applyBorder="1" applyAlignment="1">
      <x:alignment wrapText="1"/>
    </x:xf>
    <x:xf numFmtId="203" fontId="0" fillId="5" borderId="20" xfId="0" applyNumberFormat="1" applyFont="1" applyFill="1" applyBorder="1" applyAlignment="1">
      <x:alignment wrapText="1"/>
    </x:xf>
    <x:xf numFmtId="203" fontId="0" fillId="6" borderId="22" xfId="0" applyNumberFormat="1" applyFont="1" applyFill="1" applyBorder="1" applyAlignment="1">
      <x:alignment wrapText="1"/>
    </x:xf>
    <x:xf numFmtId="0" fontId="0" fillId="6" borderId="22" xfId="0" applyNumberFormat="1" applyFont="1" applyFill="1" applyBorder="1" applyAlignment="1">
      <x:alignment wrapText="1"/>
    </x:xf>
    <x:xf numFmtId="204" fontId="0" fillId="6" borderId="22" xfId="0" applyNumberFormat="1" applyFont="1" applyFill="1" applyBorder="1" applyAlignment="1">
      <x:alignment wrapText="1"/>
    </x:xf>
    <x:xf numFmtId="200" fontId="0" fillId="6" borderId="22" xfId="0" applyNumberFormat="1" applyFont="1" applyFill="1" applyBorder="1" applyAlignment="1">
      <x:alignment wrapText="1"/>
    </x:xf>
    <x:xf numFmtId="201" fontId="0" fillId="5" borderId="22" xfId="0" applyNumberFormat="1" applyFont="1" applyFill="1" applyBorder="1" applyAlignment="1">
      <x:alignment wrapText="1"/>
    </x:xf>
    <x:xf numFmtId="200" fontId="0" fillId="5" borderId="22" xfId="0" applyNumberFormat="1" applyFont="1" applyFill="1" applyBorder="1" applyAlignment="1">
      <x:alignment wrapText="1"/>
    </x:xf>
    <x:xf numFmtId="202" fontId="0" fillId="5" borderId="22" xfId="0" applyNumberFormat="1" applyFont="1" applyFill="1" applyBorder="1" applyAlignment="1">
      <x:alignment wrapText="1"/>
    </x:xf>
    <x:xf numFmtId="203" fontId="0" fillId="5" borderId="22" xfId="0" applyNumberFormat="1" applyFont="1" applyFill="1" applyBorder="1" applyAlignment="1">
      <x:alignment wrapText="1"/>
    </x:xf>
    <x:xf numFmtId="203" fontId="0" fillId="5" borderId="23" xfId="0" applyNumberFormat="1" applyFont="1" applyFill="1" applyBorder="1" applyAlignment="1">
      <x:alignment wrapText="1"/>
    </x:xf>
    <x:xf numFmtId="203" fontId="0" fillId="6" borderId="19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204" fontId="0" fillId="6" borderId="19" xfId="0" applyNumberFormat="1" applyFont="1" applyFill="1" applyBorder="1" applyAlignment="1">
      <x:alignment vertical="top" wrapText="1"/>
    </x:xf>
    <x:xf numFmtId="201" fontId="0" fillId="5" borderId="19" xfId="0" applyNumberFormat="1" applyFont="1" applyFill="1" applyBorder="1" applyAlignment="1">
      <x:alignment vertical="top" wrapText="1"/>
    </x:xf>
    <x:xf numFmtId="200" fontId="0" fillId="5" borderId="19" xfId="0" applyNumberFormat="1" applyFont="1" applyFill="1" applyBorder="1" applyAlignment="1">
      <x:alignment vertical="top" wrapText="1"/>
    </x:xf>
    <x:xf numFmtId="202" fontId="0" fillId="5" borderId="19" xfId="0" applyNumberFormat="1" applyFont="1" applyFill="1" applyBorder="1" applyAlignment="1">
      <x:alignment vertical="top" wrapText="1"/>
    </x:xf>
    <x:xf numFmtId="203" fontId="0" fillId="5" borderId="19" xfId="0" applyNumberFormat="1" applyFont="1" applyFill="1" applyBorder="1" applyAlignment="1">
      <x:alignment vertical="top" wrapText="1"/>
    </x:xf>
    <x:xf numFmtId="203" fontId="0" fillId="5" borderId="20" xfId="0" applyNumberFormat="1" applyFont="1" applyFill="1" applyBorder="1" applyAlignment="1">
      <x:alignment vertical="top" wrapText="1"/>
    </x:xf>
    <x:xf numFmtId="203" fontId="0" fillId="6" borderId="22" xfId="0" applyNumberFormat="1" applyFont="1" applyFill="1" applyBorder="1" applyAlignment="1">
      <x:alignment vertical="top" wrapText="1"/>
    </x:xf>
    <x:xf numFmtId="0" fontId="0" fillId="6" borderId="22" xfId="0" applyNumberFormat="1" applyFont="1" applyFill="1" applyBorder="1" applyAlignment="1">
      <x:alignment vertical="top" wrapText="1"/>
    </x:xf>
    <x:xf numFmtId="204" fontId="0" fillId="6" borderId="22" xfId="0" applyNumberFormat="1" applyFont="1" applyFill="1" applyBorder="1" applyAlignment="1">
      <x:alignment vertical="top" wrapText="1"/>
    </x:xf>
    <x:xf numFmtId="200" fontId="0" fillId="6" borderId="22" xfId="0" applyNumberFormat="1" applyFont="1" applyFill="1" applyBorder="1" applyAlignment="1">
      <x:alignment vertical="top" wrapText="1"/>
    </x:xf>
    <x:xf numFmtId="201" fontId="0" fillId="5" borderId="22" xfId="0" applyNumberFormat="1" applyFont="1" applyFill="1" applyBorder="1" applyAlignment="1">
      <x:alignment vertical="top" wrapText="1"/>
    </x:xf>
    <x:xf numFmtId="200" fontId="0" fillId="5" borderId="22" xfId="0" applyNumberFormat="1" applyFont="1" applyFill="1" applyBorder="1" applyAlignment="1">
      <x:alignment vertical="top" wrapText="1"/>
    </x:xf>
    <x:xf numFmtId="202" fontId="0" fillId="5" borderId="22" xfId="0" applyNumberFormat="1" applyFont="1" applyFill="1" applyBorder="1" applyAlignment="1">
      <x:alignment vertical="top" wrapText="1"/>
    </x:xf>
    <x:xf numFmtId="203" fontId="0" fillId="5" borderId="22" xfId="0" applyNumberFormat="1" applyFont="1" applyFill="1" applyBorder="1" applyAlignment="1">
      <x:alignment vertical="top" wrapText="1"/>
    </x:xf>
    <x:xf numFmtId="203" fontId="0" fillId="5" borderId="23" xfId="0" applyNumberFormat="1" applyFont="1" applyFill="1" applyBorder="1" applyAlignment="1">
      <x:alignment vertical="top" wrapText="1"/>
    </x:xf>
    <x:xf numFmtId="202" fontId="0" fillId="5" borderId="5" xfId="0" applyNumberFormat="1" applyFont="1" applyFill="1" applyBorder="1" applyAlignment="1">
      <x:alignment wrapText="1"/>
    </x:xf>
    <x:xf numFmtId="202" fontId="0" fillId="5" borderId="6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8" xfId="0" applyNumberFormat="1" applyFont="1" applyFill="1" applyBorder="1" applyAlignment="1">
      <x:alignment wrapText="1"/>
    </x:xf>
    <x:xf numFmtId="202" fontId="0" fillId="5" borderId="10" xfId="0" applyNumberFormat="1" applyFont="1" applyFill="1" applyBorder="1" applyAlignment="1">
      <x:alignment wrapText="1"/>
    </x:xf>
    <x:xf numFmtId="202" fontId="0" fillId="5" borderId="11" xfId="0" applyNumberFormat="1" applyFont="1" applyFill="1" applyBorder="1" applyAlignment="1">
      <x:alignment wrapText="1"/>
    </x:xf>
    <x:xf numFmtId="0" fontId="0" fillId="5" borderId="35" xfId="0" applyNumberFormat="1" applyFont="1" applyFill="1" applyBorder="1" applyAlignment="1">
      <x:alignment wrapText="1"/>
    </x:xf>
    <x:xf numFmtId="202" fontId="0" fillId="5" borderId="36" xfId="0" applyNumberFormat="1" applyFont="1" applyFill="1" applyBorder="1" applyAlignment="1">
      <x:alignment wrapText="1"/>
    </x:xf>
    <x:xf numFmtId="202" fontId="0" fillId="5" borderId="37" xfId="0" applyNumberFormat="1" applyFont="1" applyFill="1" applyBorder="1" applyAlignment="1">
      <x:alignment wrapText="1"/>
    </x:xf>
    <x:xf numFmtId="202" fontId="0" fillId="5" borderId="5" xfId="0" applyNumberFormat="1" applyFont="1" applyFill="1" applyBorder="1" applyAlignment="1">
      <x:alignment vertical="top" wrapText="1"/>
    </x:xf>
    <x:xf numFmtId="202" fontId="0" fillId="5" borderId="6" xfId="0" applyNumberFormat="1" applyFont="1" applyFill="1" applyBorder="1" applyAlignment="1">
      <x:alignment vertical="top" wrapText="1"/>
    </x:xf>
    <x:xf numFmtId="202" fontId="0" fillId="5" borderId="0" xfId="0" applyNumberFormat="1" applyFont="1" applyFill="1" applyBorder="1" applyAlignment="1">
      <x:alignment vertical="top" wrapText="1"/>
    </x:xf>
    <x:xf numFmtId="202" fontId="0" fillId="5" borderId="8" xfId="0" applyNumberFormat="1" applyFont="1" applyFill="1" applyBorder="1" applyAlignment="1">
      <x:alignment vertical="top" wrapText="1"/>
    </x:xf>
    <x:xf numFmtId="202" fontId="0" fillId="5" borderId="10" xfId="0" applyNumberFormat="1" applyFont="1" applyFill="1" applyBorder="1" applyAlignment="1">
      <x:alignment vertical="top" wrapText="1"/>
    </x:xf>
    <x:xf numFmtId="202" fontId="0" fillId="5" borderId="11" xfId="0" applyNumberFormat="1" applyFont="1" applyFill="1" applyBorder="1" applyAlignment="1">
      <x:alignment vertical="top" wrapText="1"/>
    </x:xf>
    <x:xf numFmtId="0" fontId="0" fillId="5" borderId="35" xfId="0" applyNumberFormat="1" applyFont="1" applyFill="1" applyBorder="1" applyAlignment="1">
      <x:alignment vertical="top" wrapText="1"/>
    </x:xf>
    <x:xf numFmtId="202" fontId="0" fillId="5" borderId="36" xfId="0" applyNumberFormat="1" applyFont="1" applyFill="1" applyBorder="1" applyAlignment="1">
      <x:alignment vertical="top" wrapText="1"/>
    </x:xf>
    <x:xf numFmtId="202" fontId="0" fillId="5" borderId="37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4" fontId="0" fillId="5" borderId="1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vertical="top" wrapText="1"/>
    </x:xf>
    <x:xf numFmtId="204" fontId="0" fillId="5" borderId="0" xfId="0" applyNumberFormat="1" applyFont="1" applyFill="1" applyBorder="1" applyAlignment="1">
      <x:alignment vertical="top" wrapText="1"/>
    </x:xf>
    <x:xf numFmtId="204" fontId="0" fillId="5" borderId="10" xfId="0" applyNumberFormat="1" applyFont="1" applyFill="1" applyBorder="1" applyAlignment="1">
      <x:alignment vertical="top" wrapText="1"/>
    </x:xf>
    <x:xf numFmtId="203" fontId="0" fillId="5" borderId="5" xfId="0" applyNumberFormat="1" applyFont="1" applyFill="1" applyBorder="1" applyAlignment="1">
      <x:alignment vertical="top" wrapText="1"/>
    </x:xf>
    <x:xf numFmtId="203" fontId="0" fillId="5" borderId="0" xfId="0" applyNumberFormat="1" applyFont="1" applyFill="1" applyBorder="1" applyAlignment="1">
      <x:alignment vertical="top" wrapText="1"/>
    </x:xf>
    <x:xf numFmtId="203" fontId="0" fillId="5" borderId="10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5" borderId="10" xfId="0" applyNumberFormat="1" applyFont="1" applyFill="1" applyBorder="1" applyAlignment="1">
      <x:alignment vertical="top" wrapText="1"/>
    </x:xf>
    <x:xf numFmtId="203" fontId="0" fillId="5" borderId="6" xfId="0" applyNumberFormat="1" applyFont="1" applyFill="1" applyBorder="1" applyAlignment="1">
      <x:alignment vertical="top" wrapText="1"/>
    </x:xf>
    <x:xf numFmtId="203" fontId="0" fillId="5" borderId="8" xfId="0" applyNumberFormat="1" applyFont="1" applyFill="1" applyBorder="1" applyAlignment="1">
      <x:alignment vertical="top" wrapText="1"/>
    </x:xf>
    <x:xf numFmtId="203" fontId="0" fillId="5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4c4c34f2a48dd" /><Relationship Type="http://schemas.openxmlformats.org/officeDocument/2006/relationships/theme" Target="/xl/theme/theme1.xml" Id="Rf535f275eea24f4b" /><Relationship Type="http://schemas.openxmlformats.org/officeDocument/2006/relationships/sharedStrings" Target="/xl/sharedStrings.xml" Id="R8784ff32f3a145f4" /><Relationship Type="http://schemas.openxmlformats.org/officeDocument/2006/relationships/worksheet" Target="/xl/worksheets/sheet1.xml" Id="Rb29f6424fcf74403" /><Relationship Type="http://schemas.openxmlformats.org/officeDocument/2006/relationships/worksheet" Target="/xl/worksheets/sheet2.xml" Id="R664ccf3e79f64466" /><Relationship Type="http://schemas.openxmlformats.org/officeDocument/2006/relationships/worksheet" Target="/xl/worksheets/sheet3.xml" Id="R25385a6e31a441cd" /><Relationship Type="http://schemas.openxmlformats.org/officeDocument/2006/relationships/worksheet" Target="/xl/worksheets/sheet4.xml" Id="Raf53a9830e5d4d67" /><Relationship Type="http://schemas.openxmlformats.org/officeDocument/2006/relationships/worksheet" Target="/xl/worksheets/sheet5.xml" Id="Rbe3bd43cea064464" /><Relationship Type="http://schemas.openxmlformats.org/officeDocument/2006/relationships/worksheet" Target="/xl/worksheets/sheet6.xml" Id="R5faf753924bb4a0f" /><Relationship Type="http://schemas.openxmlformats.org/officeDocument/2006/relationships/worksheet" Target="/xl/worksheets/sheet7.xml" Id="R1884b95176644ba0" /><Relationship Type="http://schemas.openxmlformats.org/officeDocument/2006/relationships/worksheet" Target="/xl/worksheets/sheet8.xml" Id="Rc20693a991a046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25" hidden="0" customWidth="1"/>
    <x:col min="2" max="2" width="160.3800048828125" hidden="0" customWidth="1"/>
    <x:col min="3" max="3" width="36.25" hidden="0" customWidth="1"/>
    <x:col min="4" max="4" width="36.25" hidden="0" customWidth="1"/>
    <x:col min="5" max="5" width="36.25" hidden="0" customWidth="1"/>
    <x:col min="6" max="6" width="36.25" hidden="0" customWidth="1"/>
    <x:col min="7" max="7" width="36.25" hidden="0" customWidth="1"/>
    <x:col min="8" max="8" width="36.25" hidden="0" customWidth="1"/>
  </x:cols>
  <x:sheetData>
    <x:row r="1" ht="18" hidden="0" customHeight="1">
      <x:c r="A1" s="151" t="str">
        <x:v>Salt Basin Agent API Pricing Model</x:v>
      </x:c>
      <x:c r="B1" s="151" t="str">
        <x:v>Salt Basin Agent API Pricing Model</x:v>
      </x:c>
      <x:c r="C1" s="151" t="str">
        <x:v>Salt Basin Agent API Pricing Model</x:v>
      </x:c>
      <x:c r="D1" s="151" t="str">
        <x:v>Salt Basin Agent API Pricing Model</x:v>
      </x:c>
      <x:c r="E1" s="151" t="str">
        <x:v>Salt Basin Agent API Pricing Model</x:v>
      </x:c>
      <x:c r="F1" s="151" t="str">
        <x:v>Salt Basin Agent API Pricing Model</x:v>
      </x:c>
      <x:c r="G1" s="151" t="str">
        <x:v>Salt Basin Agent API Pricing Model</x:v>
      </x:c>
      <x:c r="H1" s="151" t="str">
        <x:v>Salt Basin Agent API Pricing Model</x:v>
      </x:c>
    </x:row>
    <x:row r="2" ht="15" hidden="0" customHeight="1">
      <x:c r="A2" s="152"/>
      <x:c r="B2" s="152"/>
      <x:c r="C2" s="152"/>
      <x:c r="D2" s="152"/>
      <x:c r="E2" s="152"/>
      <x:c r="F2" s="152"/>
      <x:c r="G2" s="152"/>
      <x:c r="H2" s="152"/>
    </x:row>
    <x:row r="3" ht="15" hidden="0" customHeight="1">
      <x:c r="A3" s="153" t="str">
        <x:v>Model purpose</x:v>
      </x:c>
      <x:c r="B3" s="153" t="str">
        <x:v>Compare value-based API pricing, cost floor, margin targets, and advisory deposits across multiple client scenarios.</x:v>
      </x:c>
      <x:c r="C3" s="153"/>
      <x:c r="D3" s="153"/>
      <x:c r="E3" s="153"/>
      <x:c r="F3" s="153"/>
      <x:c r="G3" s="153"/>
      <x:c r="H3" s="153"/>
    </x:row>
    <x:row r="4" ht="15" hidden="0" customHeight="1">
      <x:c r="A4" s="152"/>
      <x:c r="B4" s="152"/>
      <x:c r="C4" s="152"/>
      <x:c r="D4" s="152"/>
      <x:c r="E4" s="152"/>
      <x:c r="F4" s="152"/>
      <x:c r="G4" s="152"/>
      <x:c r="H4" s="152"/>
    </x:row>
    <x:row r="5" ht="15" hidden="0" customHeight="1">
      <x:c r="A5" s="154" t="str">
        <x:v>Scenario</x:v>
      </x:c>
      <x:c r="B5" s="155" t="str">
        <x:v>ARR</x:v>
      </x:c>
      <x:c r="C5" s="155" t="str">
        <x:v>Annual Calls</x:v>
      </x:c>
      <x:c r="D5" s="155" t="str">
        <x:v>Recommended $/Call</x:v>
      </x:c>
      <x:c r="E5" s="155" t="str">
        <x:v>Annual API Revenue</x:v>
      </x:c>
      <x:c r="F5" s="155" t="str">
        <x:v>Gross Margin</x:v>
      </x:c>
      <x:c r="G5" s="155" t="str">
        <x:v>Advisory Fee</x:v>
      </x:c>
      <x:c r="H5" s="156" t="str">
        <x:v>Deposit</x:v>
      </x:c>
    </x:row>
    <x:row r="6" ht="15" hidden="0" customHeight="1">
      <x:c r="A6" s="157" t="str">
        <x:f>'Scenarios'!A6</x:f>
        <x:v>Self-Service RevOps Pilot</x:v>
      </x:c>
      <x:c r="B6" s="250" t="n">
        <x:f>'Scenarios'!B6</x:f>
        <x:v>12000000</x:v>
      </x:c>
      <x:c r="C6" s="250" t="n">
        <x:f>'Scenarios'!E6</x:f>
        <x:v>60000</x:v>
      </x:c>
      <x:c r="D6" s="235" t="n">
        <x:f>'Scenarios'!P6</x:f>
        <x:v>0.64</x:v>
      </x:c>
      <x:c r="E6" s="250" t="n">
        <x:f>'Scenarios'!Q6</x:f>
        <x:v>38400</x:v>
      </x:c>
      <x:c r="F6" s="253" t="n">
        <x:f>'Scenarios'!T6</x:f>
        <x:v>0.75</x:v>
      </x:c>
      <x:c r="G6" s="250" t="n">
        <x:f>'Scenarios'!U6</x:f>
        <x:v>40000</x:v>
      </x:c>
      <x:c r="H6" s="255" t="n">
        <x:f>'Scenarios'!V6</x:f>
        <x:v>10000</x:v>
      </x:c>
    </x:row>
    <x:row r="7" ht="15" hidden="0" customHeight="1">
      <x:c r="A7" s="160" t="str">
        <x:f>'Scenarios'!A7</x:f>
        <x:v>Growth PE-Backed SaaS</x:v>
      </x:c>
      <x:c r="B7" s="251" t="n">
        <x:f>'Scenarios'!B7</x:f>
        <x:v>85000000</x:v>
      </x:c>
      <x:c r="C7" s="251" t="n">
        <x:f>'Scenarios'!E7</x:f>
        <x:v>250000</x:v>
      </x:c>
      <x:c r="D7" s="237" t="n">
        <x:f>'Scenarios'!P7</x:f>
        <x:v>0.9071999999999998</x:v>
      </x:c>
      <x:c r="E7" s="251" t="n">
        <x:f>'Scenarios'!Q7</x:f>
        <x:v>226799.99999999994</x:v>
      </x:c>
      <x:c r="F7" s="247" t="n">
        <x:f>'Scenarios'!T7</x:f>
        <x:v>0.7795414462081128</x:v>
      </x:c>
      <x:c r="G7" s="251" t="n">
        <x:f>'Scenarios'!U7</x:f>
        <x:v>125000</x:v>
      </x:c>
      <x:c r="H7" s="256" t="n">
        <x:f>'Scenarios'!V7</x:f>
        <x:v>31250</x:v>
      </x:c>
    </x:row>
    <x:row r="8" ht="15" hidden="0" customHeight="1">
      <x:c r="A8" s="160" t="str">
        <x:f>'Scenarios'!A8</x:f>
        <x:v>Enterprise Revenue Intelligence</x:v>
      </x:c>
      <x:c r="B8" s="251" t="n">
        <x:f>'Scenarios'!B8</x:f>
        <x:v>350000000</x:v>
      </x:c>
      <x:c r="C8" s="251" t="n">
        <x:f>'Scenarios'!E8</x:f>
        <x:v>1200000</x:v>
      </x:c>
      <x:c r="D8" s="237" t="n">
        <x:f>'Scenarios'!P8</x:f>
        <x:v>1</x:v>
      </x:c>
      <x:c r="E8" s="251" t="n">
        <x:f>'Scenarios'!Q8</x:f>
        <x:v>1200000</x:v>
      </x:c>
      <x:c r="F8" s="247" t="n">
        <x:f>'Scenarios'!T8</x:f>
        <x:v>0.75</x:v>
      </x:c>
      <x:c r="G8" s="251" t="n">
        <x:f>'Scenarios'!U8</x:f>
        <x:v>250000</x:v>
      </x:c>
      <x:c r="H8" s="256" t="n">
        <x:f>'Scenarios'!V8</x:f>
        <x:v>62500</x:v>
      </x:c>
    </x:row>
    <x:row r="9" ht="15" hidden="0" customHeight="1">
      <x:c r="A9" s="160" t="str">
        <x:f>'Scenarios'!A9</x:f>
        <x:v>PE Portfolio Rollout</x:v>
      </x:c>
      <x:c r="B9" s="251" t="n">
        <x:f>'Scenarios'!B9</x:f>
        <x:v>1200000000</x:v>
      </x:c>
      <x:c r="C9" s="251" t="n">
        <x:f>'Scenarios'!E9</x:f>
        <x:v>6000000</x:v>
      </x:c>
      <x:c r="D9" s="237" t="n">
        <x:f>'Scenarios'!P9</x:f>
        <x:v>0.88</x:v>
      </x:c>
      <x:c r="E9" s="251" t="n">
        <x:f>'Scenarios'!Q9</x:f>
        <x:v>5280000</x:v>
      </x:c>
      <x:c r="F9" s="247" t="n">
        <x:f>'Scenarios'!T9</x:f>
        <x:v>0.75</x:v>
      </x:c>
      <x:c r="G9" s="251" t="n">
        <x:f>'Scenarios'!U9</x:f>
        <x:v>500000</x:v>
      </x:c>
      <x:c r="H9" s="256" t="n">
        <x:f>'Scenarios'!V9</x:f>
        <x:v>125000</x:v>
      </x:c>
    </x:row>
    <x:row r="10" ht="15" hidden="0" customHeight="1">
      <x:c r="A10" s="163" t="str">
        <x:f>'Scenarios'!A10</x:f>
        <x:v>High-Governance ERP Writeback</x:v>
      </x:c>
      <x:c r="B10" s="252" t="n">
        <x:f>'Scenarios'!B10</x:f>
        <x:v>600000000</x:v>
      </x:c>
      <x:c r="C10" s="252" t="n">
        <x:f>'Scenarios'!E10</x:f>
        <x:v>1800000</x:v>
      </x:c>
      <x:c r="D10" s="239" t="n">
        <x:f>'Scenarios'!P10</x:f>
        <x:v>1.32</x:v>
      </x:c>
      <x:c r="E10" s="252" t="n">
        <x:f>'Scenarios'!Q10</x:f>
        <x:v>2376000</x:v>
      </x:c>
      <x:c r="F10" s="254" t="n">
        <x:f>'Scenarios'!T10</x:f>
        <x:v>0.75</x:v>
      </x:c>
      <x:c r="G10" s="252" t="n">
        <x:f>'Scenarios'!U10</x:f>
        <x:v>300000</x:v>
      </x:c>
      <x:c r="H10" s="257" t="n">
        <x:f>'Scenarios'!V10</x:f>
        <x:v>75000</x:v>
      </x:c>
    </x:row>
    <x:row r="11" ht="15" hidden="0" customHeight="1">
      <x:c r="A11" s="152"/>
      <x:c r="B11" s="152"/>
      <x:c r="C11" s="152"/>
      <x:c r="D11" s="152"/>
      <x:c r="E11" s="152"/>
      <x:c r="F11" s="152"/>
      <x:c r="G11" s="152"/>
      <x:c r="H11" s="152"/>
    </x:row>
    <x:row r="12" ht="15" hidden="0" customHeight="1">
      <x:c r="A12" s="166" t="str">
        <x:v>Interpretation</x:v>
      </x:c>
      <x:c r="B12" s="166" t="str">
        <x:v>The recommended API call price is the greater of value-based price after volume discount and the margin-protected price floor. This keeps value as the anchor while preventing underpriced enterprise workloads.</x:v>
      </x:c>
      <x:c r="C12" s="166"/>
      <x:c r="D12" s="166"/>
      <x:c r="E12" s="166"/>
      <x:c r="F12" s="166"/>
      <x:c r="G12" s="166"/>
      <x:c r="H12" s="166"/>
    </x:row>
    <x:row r="13" ht="15" hidden="0" customHeight="1">
      <x:c r="A13" s="152"/>
      <x:c r="B13" s="152"/>
      <x:c r="C13" s="152"/>
      <x:c r="D13" s="152"/>
      <x:c r="E13" s="152"/>
      <x:c r="F13" s="152"/>
      <x:c r="G13" s="152"/>
      <x:c r="H13" s="152"/>
    </x:row>
    <x:row r="14" ht="15" hidden="0" customHeight="1">
      <x:c r="A14" s="153" t="str">
        <x:v>Key decision ratios</x:v>
      </x:c>
      <x:c r="B14" s="153" t="str">
        <x:v>Recommended starting targets: 20%-30% Salt Basin attribution share, 65%-80% target gross margin, and 60%-85% confidence factor depending on evidence quality and implementation risk.</x:v>
      </x:c>
      <x:c r="C14" s="153"/>
      <x:c r="D14" s="153"/>
      <x:c r="E14" s="153"/>
      <x:c r="F14" s="153"/>
      <x:c r="G14" s="153"/>
      <x:c r="H14" s="153"/>
    </x:row>
  </x:sheetData>
  <x:mergeCells>
    <x:mergeCell ref="A1:H1"/>
    <x:mergeCell ref="A3:H3"/>
    <x:mergeCell ref="A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2.8799991607666" hidden="0" customWidth="1"/>
    <x:col min="3" max="3" width="22.8799991607666" hidden="0" customWidth="1"/>
    <x:col min="4" max="4" width="45.130001068115234" hidden="0" customWidth="1"/>
  </x:cols>
  <x:sheetData>
    <x:row r="1" ht="18" hidden="0" customHeight="1">
      <x:c r="A1" s="151" t="str">
        <x:v>Editable Assumptions</x:v>
      </x:c>
      <x:c r="B1" s="151" t="str">
        <x:v>Editable Assumptions</x:v>
      </x:c>
      <x:c r="C1" s="151" t="str">
        <x:v>Editable Assumptions</x:v>
      </x:c>
      <x:c r="D1" s="151" t="str">
        <x:v>Editable Assumptions</x:v>
      </x:c>
    </x:row>
    <x:row r="2" ht="15" hidden="0" customHeight="1">
      <x:c r="A2" s="152"/>
      <x:c r="B2" s="152"/>
      <x:c r="C2" s="152"/>
      <x:c r="D2" s="152"/>
    </x:row>
    <x:row r="3" ht="15" hidden="0" customHeight="1">
      <x:c r="A3" s="176" t="str">
        <x:v>Input</x:v>
      </x:c>
      <x:c r="B3" s="177" t="str">
        <x:v>Value</x:v>
      </x:c>
      <x:c r="C3" s="177" t="str">
        <x:v>Unit</x:v>
      </x:c>
      <x:c r="D3" s="178" t="str">
        <x:v>Notes</x:v>
      </x:c>
    </x:row>
    <x:row r="4" ht="15" hidden="0" customHeight="1">
      <x:c r="A4" s="179" t="str">
        <x:v>Target Gross Margin</x:v>
      </x:c>
      <x:c r="B4" s="180" t="n">
        <x:v>0.75</x:v>
      </x:c>
      <x:c r="C4" s="181" t="str">
        <x:v>%</x:v>
      </x:c>
      <x:c r="D4" s="182" t="str">
        <x:v>Used to calculate margin-protected price floor.</x:v>
      </x:c>
    </x:row>
    <x:row r="5" ht="15" hidden="0" customHeight="1">
      <x:c r="A5" s="179" t="str">
        <x:v>Default Contribution Relevance</x:v>
      </x:c>
      <x:c r="B5" s="180" t="n">
        <x:v>0.8</x:v>
      </x:c>
      <x:c r="C5" s="181" t="str">
        <x:v>%</x:v>
      </x:c>
      <x:c r="D5" s="182" t="str">
        <x:v>How directly agent capability supports the client value pool.</x:v>
      </x:c>
    </x:row>
    <x:row r="6" ht="15" hidden="0" customHeight="1">
      <x:c r="A6" s="179" t="str">
        <x:v>Default Salt Basin Attribution</x:v>
      </x:c>
      <x:c r="B6" s="180" t="n">
        <x:v>0.25</x:v>
      </x:c>
      <x:c r="C6" s="181" t="str">
        <x:v>%</x:v>
      </x:c>
      <x:c r="D6" s="182" t="str">
        <x:v>Share of value reasonably attributed to Salt Basin.</x:v>
      </x:c>
    </x:row>
    <x:row r="7" ht="15" hidden="0" customHeight="1">
      <x:c r="A7" s="179" t="str">
        <x:v>Default Confidence Factor</x:v>
      </x:c>
      <x:c r="B7" s="180" t="n">
        <x:v>0.7</x:v>
      </x:c>
      <x:c r="C7" s="181" t="str">
        <x:v>%</x:v>
      </x:c>
      <x:c r="D7" s="182" t="str">
        <x:v>Discount for uncertainty and adoption risk.</x:v>
      </x:c>
    </x:row>
    <x:row r="8" ht="15" hidden="0" customHeight="1">
      <x:c r="A8" s="179" t="str">
        <x:v>Starter Volume Discount</x:v>
      </x:c>
      <x:c r="B8" s="180" t="n">
        <x:v>0</x:v>
      </x:c>
      <x:c r="C8" s="181" t="str">
        <x:v>%</x:v>
      </x:c>
      <x:c r="D8" s="182" t="str">
        <x:v>0-10k monthly calls.</x:v>
      </x:c>
    </x:row>
    <x:row r="9" ht="15" hidden="0" customHeight="1">
      <x:c r="A9" s="179" t="str">
        <x:v>Growth Volume Discount</x:v>
      </x:c>
      <x:c r="B9" s="180" t="n">
        <x:v>0.1</x:v>
      </x:c>
      <x:c r="C9" s="181" t="str">
        <x:v>%</x:v>
      </x:c>
      <x:c r="D9" s="182" t="str">
        <x:v>10k-50k monthly calls.</x:v>
      </x:c>
    </x:row>
    <x:row r="10" ht="15" hidden="0" customHeight="1">
      <x:c r="A10" s="179" t="str">
        <x:v>Scale Volume Discount</x:v>
      </x:c>
      <x:c r="B10" s="180" t="n">
        <x:v>0.2</x:v>
      </x:c>
      <x:c r="C10" s="181" t="str">
        <x:v>%</x:v>
      </x:c>
      <x:c r="D10" s="182" t="str">
        <x:v>50k-250k monthly calls.</x:v>
      </x:c>
    </x:row>
    <x:row r="11" ht="15" hidden="0" customHeight="1">
      <x:c r="A11" s="179" t="str">
        <x:v>Enterprise Volume Discount</x:v>
      </x:c>
      <x:c r="B11" s="180" t="n">
        <x:v>0.3</x:v>
      </x:c>
      <x:c r="C11" s="181" t="str">
        <x:v>%</x:v>
      </x:c>
      <x:c r="D11" s="182" t="str">
        <x:v>250k-1M monthly calls.</x:v>
      </x:c>
    </x:row>
    <x:row r="12" ht="15" hidden="0" customHeight="1">
      <x:c r="A12" s="179" t="str">
        <x:v>Portfolio Volume Discount</x:v>
      </x:c>
      <x:c r="B12" s="180" t="n">
        <x:v>0.4</x:v>
      </x:c>
      <x:c r="C12" s="181" t="str">
        <x:v>%</x:v>
      </x:c>
      <x:c r="D12" s="182" t="str">
        <x:v>1M+ monthly calls.</x:v>
      </x:c>
    </x:row>
    <x:row r="13" ht="15" hidden="0" customHeight="1">
      <x:c r="A13" s="179" t="str">
        <x:v>Deposit Rate</x:v>
      </x:c>
      <x:c r="B13" s="180" t="n">
        <x:v>0.25</x:v>
      </x:c>
      <x:c r="C13" s="181" t="str">
        <x:v>%</x:v>
      </x:c>
      <x:c r="D13" s="182" t="str">
        <x:v>Advisory deposit as share of fixed fee.</x:v>
      </x:c>
    </x:row>
    <x:row r="14" ht="15" hidden="0" customHeight="1">
      <x:c r="A14" s="179" t="str">
        <x:v>Storage Cost Per Call</x:v>
      </x:c>
      <x:c r="B14" s="183" t="n">
        <x:v>0.015</x:v>
      </x:c>
      <x:c r="C14" s="181" t="str">
        <x:v>$</x:v>
      </x:c>
      <x:c r="D14" s="182" t="str">
        <x:v>DB, logs, usage ledger, retention.</x:v>
      </x:c>
    </x:row>
    <x:row r="15" ht="15" hidden="0" customHeight="1">
      <x:c r="A15" s="179" t="str">
        <x:v>Queue Runtime Cost Per Call</x:v>
      </x:c>
      <x:c r="B15" s="183" t="n">
        <x:v>0.025</x:v>
      </x:c>
      <x:c r="C15" s="181" t="str">
        <x:v>$</x:v>
      </x:c>
      <x:c r="D15" s="182" t="str">
        <x:v>Worker, orchestration, retries.</x:v>
      </x:c>
    </x:row>
    <x:row r="16" ht="15" hidden="0" customHeight="1">
      <x:c r="A16" s="179" t="str">
        <x:v>Observability Cost Per Call</x:v>
      </x:c>
      <x:c r="B16" s="183" t="n">
        <x:v>0.01</x:v>
      </x:c>
      <x:c r="C16" s="181" t="str">
        <x:v>$</x:v>
      </x:c>
      <x:c r="D16" s="182" t="str">
        <x:v>Metrics, tracing, alerts.</x:v>
      </x:c>
    </x:row>
    <x:row r="17" ht="15" hidden="0" customHeight="1">
      <x:c r="A17" s="179" t="str">
        <x:v>Support Allocation Per Call</x:v>
      </x:c>
      <x:c r="B17" s="183" t="n">
        <x:v>0.04</x:v>
      </x:c>
      <x:c r="C17" s="181" t="str">
        <x:v>$</x:v>
      </x:c>
      <x:c r="D17" s="182" t="str">
        <x:v>Client support and operational overhead.</x:v>
      </x:c>
    </x:row>
    <x:row r="18" ht="15" hidden="0" customHeight="1">
      <x:c r="A18" s="184" t="str">
        <x:v>Security Allocation Per Call</x:v>
      </x:c>
      <x:c r="B18" s="185" t="n">
        <x:v>0.02</x:v>
      </x:c>
      <x:c r="C18" s="186" t="str">
        <x:v>$</x:v>
      </x:c>
      <x:c r="D18" s="187" t="str">
        <x:v>Audit, auth, compliance overhead.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0.8799991607666" hidden="0" customWidth="1"/>
    <x:col min="3" max="3" width="30.8799991607666" hidden="0" customWidth="1"/>
    <x:col min="4" max="4" width="30.8799991607666" hidden="0" customWidth="1"/>
    <x:col min="5" max="5" width="30.8799991607666" hidden="0" customWidth="1"/>
    <x:col min="6" max="6" width="30.8799991607666" hidden="0" customWidth="1"/>
    <x:col min="7" max="7" width="30.8799991607666" hidden="0" customWidth="1"/>
    <x:col min="8" max="8" width="30.8799991607666" hidden="0" customWidth="1"/>
    <x:col min="9" max="9" width="30.8799991607666" hidden="0" customWidth="1"/>
    <x:col min="10" max="10" width="43.75" hidden="0" customWidth="1"/>
  </x:cols>
  <x:sheetData>
    <x:row r="1" ht="18" hidden="0" customHeight="1">
      <x:c r="A1" s="151" t="str">
        <x:v>API Catalog And Pricing Roles</x:v>
      </x:c>
      <x:c r="B1" s="151" t="str">
        <x:v>API Catalog And Pricing Roles</x:v>
      </x:c>
      <x:c r="C1" s="151" t="str">
        <x:v>API Catalog And Pricing Roles</x:v>
      </x:c>
      <x:c r="D1" s="151" t="str">
        <x:v>API Catalog And Pricing Roles</x:v>
      </x:c>
      <x:c r="E1" s="151" t="str">
        <x:v>API Catalog And Pricing Roles</x:v>
      </x:c>
      <x:c r="F1" s="151" t="str">
        <x:v>API Catalog And Pricing Roles</x:v>
      </x:c>
      <x:c r="G1" s="151" t="str">
        <x:v>API Catalog And Pricing Roles</x:v>
      </x:c>
      <x:c r="H1" s="151" t="str">
        <x:v>API Catalog And Pricing Roles</x:v>
      </x:c>
      <x:c r="I1" s="151" t="str">
        <x:v>API Catalog And Pricing Roles</x:v>
      </x:c>
      <x:c r="J1" s="151" t="str">
        <x:v>API Catalog And Pricing Roles</x:v>
      </x:c>
    </x:row>
    <x:row r="2" ht="15" hidden="0" customHeight="1">
      <x:c r="A2" s="152"/>
      <x:c r="B2" s="152"/>
      <x:c r="C2" s="152"/>
      <x:c r="D2" s="152"/>
      <x:c r="E2" s="152"/>
      <x:c r="F2" s="152"/>
      <x:c r="G2" s="152"/>
      <x:c r="H2" s="152"/>
      <x:c r="I2" s="152"/>
      <x:c r="J2" s="152"/>
    </x:row>
    <x:row r="3" ht="15" hidden="0" customHeight="1">
      <x:c r="A3" s="176" t="str">
        <x:v>Endpoint</x:v>
      </x:c>
      <x:c r="B3" s="177" t="str">
        <x:v>Method</x:v>
      </x:c>
      <x:c r="C3" s="177" t="str">
        <x:v>Category</x:v>
      </x:c>
      <x:c r="D3" s="177" t="str">
        <x:v>Billable</x:v>
      </x:c>
      <x:c r="E3" s="177" t="str">
        <x:v>Call Type</x:v>
      </x:c>
      <x:c r="F3" s="177" t="str">
        <x:v>Base Price Low</x:v>
      </x:c>
      <x:c r="G3" s="177" t="str">
        <x:v>Base Price High</x:v>
      </x:c>
      <x:c r="H3" s="177" t="str">
        <x:v>Complexity Weight</x:v>
      </x:c>
      <x:c r="I3" s="177" t="str">
        <x:v>Typical Latency Pattern</x:v>
      </x:c>
      <x:c r="J3" s="178" t="str">
        <x:v>Notes</x:v>
      </x:c>
    </x:row>
    <x:row r="4" ht="15" hidden="0" customHeight="1">
      <x:c r="A4" s="179" t="str">
        <x:v>/api/v1/auth/signup</x:v>
      </x:c>
      <x:c r="B4" s="181" t="str">
        <x:v>POST</x:v>
      </x:c>
      <x:c r="C4" s="181" t="str">
        <x:v>Access</x:v>
      </x:c>
      <x:c r="D4" s="181" t="str">
        <x:v>No</x:v>
      </x:c>
      <x:c r="E4" s="181" t="str">
        <x:v>non_billable</x:v>
      </x:c>
      <x:c r="F4" s="190" t="n">
        <x:v>0</x:v>
      </x:c>
      <x:c r="G4" s="190" t="n">
        <x:v>0</x:v>
      </x:c>
      <x:c r="H4" s="181" t="n">
        <x:v>0</x:v>
      </x:c>
      <x:c r="I4" s="181" t="str">
        <x:v>Sync</x:v>
      </x:c>
      <x:c r="J4" s="182" t="str">
        <x:v>Client organization and admin creation.</x:v>
      </x:c>
    </x:row>
    <x:row r="5" ht="15" hidden="0" customHeight="1">
      <x:c r="A5" s="179" t="str">
        <x:v>/api/v1/oauth/token</x:v>
      </x:c>
      <x:c r="B5" s="181" t="str">
        <x:v>POST</x:v>
      </x:c>
      <x:c r="C5" s="181" t="str">
        <x:v>Access</x:v>
      </x:c>
      <x:c r="D5" s="181" t="str">
        <x:v>No</x:v>
      </x:c>
      <x:c r="E5" s="181" t="str">
        <x:v>non_billable</x:v>
      </x:c>
      <x:c r="F5" s="190" t="n">
        <x:v>0</x:v>
      </x:c>
      <x:c r="G5" s="190" t="n">
        <x:v>0</x:v>
      </x:c>
      <x:c r="H5" s="181" t="n">
        <x:v>0</x:v>
      </x:c>
      <x:c r="I5" s="181" t="str">
        <x:v>Sync</x:v>
      </x:c>
      <x:c r="J5" s="182" t="str">
        <x:v>Short-lived scoped access token.</x:v>
      </x:c>
    </x:row>
    <x:row r="6" ht="15" hidden="0" customHeight="1">
      <x:c r="A6" s="179" t="str">
        <x:v>/api/v1/api-keys</x:v>
      </x:c>
      <x:c r="B6" s="181" t="str">
        <x:v>POST</x:v>
      </x:c>
      <x:c r="C6" s="181" t="str">
        <x:v>Access</x:v>
      </x:c>
      <x:c r="D6" s="181" t="str">
        <x:v>No</x:v>
      </x:c>
      <x:c r="E6" s="181" t="str">
        <x:v>non_billable</x:v>
      </x:c>
      <x:c r="F6" s="190" t="n">
        <x:v>0</x:v>
      </x:c>
      <x:c r="G6" s="190" t="n">
        <x:v>0</x:v>
      </x:c>
      <x:c r="H6" s="181" t="n">
        <x:v>0</x:v>
      </x:c>
      <x:c r="I6" s="181" t="str">
        <x:v>Sync</x:v>
      </x:c>
      <x:c r="J6" s="182" t="str">
        <x:v>Environment-scoped API key creation.</x:v>
      </x:c>
    </x:row>
    <x:row r="7" ht="15" hidden="0" customHeight="1">
      <x:c r="A7" s="179" t="str">
        <x:v>/api/v1/checkout/intake</x:v>
      </x:c>
      <x:c r="B7" s="181" t="str">
        <x:v>POST</x:v>
      </x:c>
      <x:c r="C7" s="181" t="str">
        <x:v>Checkout</x:v>
      </x:c>
      <x:c r="D7" s="181" t="str">
        <x:v>No</x:v>
      </x:c>
      <x:c r="E7" s="181" t="str">
        <x:v>non_billable</x:v>
      </x:c>
      <x:c r="F7" s="190" t="n">
        <x:v>0</x:v>
      </x:c>
      <x:c r="G7" s="190" t="n">
        <x:v>0</x:v>
      </x:c>
      <x:c r="H7" s="181" t="n">
        <x:v>0</x:v>
      </x:c>
      <x:c r="I7" s="181" t="str">
        <x:v>Sync</x:v>
      </x:c>
      <x:c r="J7" s="182" t="str">
        <x:v>Commercial intake and usage estimate.</x:v>
      </x:c>
    </x:row>
    <x:row r="8" ht="15" hidden="0" customHeight="1">
      <x:c r="A8" s="179" t="str">
        <x:v>/api/v1/pricing/estimate</x:v>
      </x:c>
      <x:c r="B8" s="181" t="str">
        <x:v>POST</x:v>
      </x:c>
      <x:c r="C8" s="181" t="str">
        <x:v>Checkout</x:v>
      </x:c>
      <x:c r="D8" s="181" t="str">
        <x:v>No</x:v>
      </x:c>
      <x:c r="E8" s="181" t="str">
        <x:v>non_billable</x:v>
      </x:c>
      <x:c r="F8" s="190" t="n">
        <x:v>0</x:v>
      </x:c>
      <x:c r="G8" s="190" t="n">
        <x:v>0</x:v>
      </x:c>
      <x:c r="H8" s="181" t="n">
        <x:v>0</x:v>
      </x:c>
      <x:c r="I8" s="181" t="str">
        <x:v>Sync</x:v>
      </x:c>
      <x:c r="J8" s="182" t="str">
        <x:v>Value-based and margin-floor quote estimate.</x:v>
      </x:c>
    </x:row>
    <x:row r="9" ht="15" hidden="0" customHeight="1">
      <x:c r="A9" s="179" t="str">
        <x:v>/api/v1/agent-runs</x:v>
      </x:c>
      <x:c r="B9" s="181" t="str">
        <x:v>POST</x:v>
      </x:c>
      <x:c r="C9" s="181" t="str">
        <x:v>Execution</x:v>
      </x:c>
      <x:c r="D9" s="181" t="str">
        <x:v>Yes</x:v>
      </x:c>
      <x:c r="E9" s="181" t="str">
        <x:v>agent_reasoning</x:v>
      </x:c>
      <x:c r="F9" s="190" t="n">
        <x:v>0.75</x:v>
      </x:c>
      <x:c r="G9" s="190" t="n">
        <x:v>4</x:v>
      </x:c>
      <x:c r="H9" s="181" t="n">
        <x:v>2</x:v>
      </x:c>
      <x:c r="I9" s="181" t="str">
        <x:v>Async</x:v>
      </x:c>
      <x:c r="J9" s="182" t="str">
        <x:v>Starts governed agent run.</x:v>
      </x:c>
    </x:row>
    <x:row r="10" ht="15" hidden="0" customHeight="1">
      <x:c r="A10" s="179" t="str">
        <x:v>/api/v1/agent-runs/:id</x:v>
      </x:c>
      <x:c r="B10" s="181" t="str">
        <x:v>GET</x:v>
      </x:c>
      <x:c r="C10" s="181" t="str">
        <x:v>Execution</x:v>
      </x:c>
      <x:c r="D10" s="181" t="str">
        <x:v>No</x:v>
      </x:c>
      <x:c r="E10" s="181" t="str">
        <x:v>non_billable</x:v>
      </x:c>
      <x:c r="F10" s="190" t="n">
        <x:v>0</x:v>
      </x:c>
      <x:c r="G10" s="190" t="n">
        <x:v>0</x:v>
      </x:c>
      <x:c r="H10" s="181" t="n">
        <x:v>0</x:v>
      </x:c>
      <x:c r="I10" s="181" t="str">
        <x:v>Sync</x:v>
      </x:c>
      <x:c r="J10" s="182" t="str">
        <x:v>Poll result within fair-use limits.</x:v>
      </x:c>
    </x:row>
    <x:row r="11" ht="15" hidden="0" customHeight="1">
      <x:c r="A11" s="179" t="str">
        <x:v>/api/v1/agent-runs/:id/events</x:v>
      </x:c>
      <x:c r="B11" s="181" t="str">
        <x:v>POST</x:v>
      </x:c>
      <x:c r="C11" s="181" t="str">
        <x:v>Execution</x:v>
      </x:c>
      <x:c r="D11" s="181" t="str">
        <x:v>Conditional</x:v>
      </x:c>
      <x:c r="E11" s="181" t="str">
        <x:v>workflow_orchestration</x:v>
      </x:c>
      <x:c r="F11" s="190" t="n">
        <x:v>1.5</x:v>
      </x:c>
      <x:c r="G11" s="190" t="n">
        <x:v>8</x:v>
      </x:c>
      <x:c r="H11" s="181" t="n">
        <x:v>3</x:v>
      </x:c>
      <x:c r="I11" s="181" t="str">
        <x:v>Async</x:v>
      </x:c>
      <x:c r="J11" s="182" t="str">
        <x:v>Premium event types may be billable.</x:v>
      </x:c>
    </x:row>
    <x:row r="12" ht="15" hidden="0" customHeight="1">
      <x:c r="A12" s="179" t="str">
        <x:v>/api/v1/context-packages</x:v>
      </x:c>
      <x:c r="B12" s="181" t="str">
        <x:v>POST</x:v>
      </x:c>
      <x:c r="C12" s="181" t="str">
        <x:v>Context</x:v>
      </x:c>
      <x:c r="D12" s="181" t="str">
        <x:v>Yes</x:v>
      </x:c>
      <x:c r="E12" s="181" t="str">
        <x:v>context_package</x:v>
      </x:c>
      <x:c r="F12" s="190" t="n">
        <x:v>0.25</x:v>
      </x:c>
      <x:c r="G12" s="190" t="n">
        <x:v>1.25</x:v>
      </x:c>
      <x:c r="H12" s="181" t="n">
        <x:v>1</x:v>
      </x:c>
      <x:c r="I12" s="181" t="str">
        <x:v>Sync/Async</x:v>
      </x:c>
      <x:c r="J12" s="182" t="str">
        <x:v>Client-managed model overlay ready.</x:v>
      </x:c>
    </x:row>
    <x:row r="13" ht="15" hidden="0" customHeight="1">
      <x:c r="A13" s="179" t="str">
        <x:v>/api/v1/model-overlays/validate</x:v>
      </x:c>
      <x:c r="B13" s="181" t="str">
        <x:v>POST</x:v>
      </x:c>
      <x:c r="C13" s="181" t="str">
        <x:v>Model Overlay</x:v>
      </x:c>
      <x:c r="D13" s="181" t="str">
        <x:v>No</x:v>
      </x:c>
      <x:c r="E13" s="181" t="str">
        <x:v>non_billable</x:v>
      </x:c>
      <x:c r="F13" s="190" t="n">
        <x:v>0</x:v>
      </x:c>
      <x:c r="G13" s="190" t="n">
        <x:v>0</x:v>
      </x:c>
      <x:c r="H13" s="181" t="n">
        <x:v>0</x:v>
      </x:c>
      <x:c r="I13" s="181" t="str">
        <x:v>Sync</x:v>
      </x:c>
      <x:c r="J13" s="182" t="str">
        <x:v>Validates client-managed model endpoint.</x:v>
      </x:c>
    </x:row>
    <x:row r="14" ht="15" hidden="0" customHeight="1">
      <x:c r="A14" s="179" t="str">
        <x:v>/api/v1/model-overlays/execution-receipts</x:v>
      </x:c>
      <x:c r="B14" s="181" t="str">
        <x:v>POST</x:v>
      </x:c>
      <x:c r="C14" s="181" t="str">
        <x:v>Model Overlay</x:v>
      </x:c>
      <x:c r="D14" s="181" t="str">
        <x:v>No</x:v>
      </x:c>
      <x:c r="E14" s="181" t="str">
        <x:v>non_billable</x:v>
      </x:c>
      <x:c r="F14" s="190" t="n">
        <x:v>0</x:v>
      </x:c>
      <x:c r="G14" s="190" t="n">
        <x:v>0</x:v>
      </x:c>
      <x:c r="H14" s="181" t="n">
        <x:v>0</x:v>
      </x:c>
      <x:c r="I14" s="181" t="str">
        <x:v>Sync</x:v>
      </x:c>
      <x:c r="J14" s="182" t="str">
        <x:v>Captures client-reported model usage metadata.</x:v>
      </x:c>
    </x:row>
    <x:row r="15" ht="15" hidden="0" customHeight="1">
      <x:c r="A15" s="179" t="str">
        <x:v>/api/v1/connectors/:provider/validate</x:v>
      </x:c>
      <x:c r="B15" s="181" t="str">
        <x:v>POST</x:v>
      </x:c>
      <x:c r="C15" s="181" t="str">
        <x:v>Connector</x:v>
      </x:c>
      <x:c r="D15" s="181" t="str">
        <x:v>Conditional</x:v>
      </x:c>
      <x:c r="E15" s="181" t="str">
        <x:v>connector_validation</x:v>
      </x:c>
      <x:c r="F15" s="190" t="n">
        <x:v>0</x:v>
      </x:c>
      <x:c r="G15" s="190" t="n">
        <x:v>1</x:v>
      </x:c>
      <x:c r="H15" s="181" t="n">
        <x:v>0.5</x:v>
      </x:c>
      <x:c r="I15" s="181" t="str">
        <x:v>Sync</x:v>
      </x:c>
      <x:c r="J15" s="182" t="str">
        <x:v>Free setup validation, billable monitor later.</x:v>
      </x:c>
    </x:row>
    <x:row r="16" ht="15" hidden="0" customHeight="1">
      <x:c r="A16" s="179" t="str">
        <x:v>/api/v1/connectors/:provider/object-profile</x:v>
      </x:c>
      <x:c r="B16" s="181" t="str">
        <x:v>POST</x:v>
      </x:c>
      <x:c r="C16" s="181" t="str">
        <x:v>Connector</x:v>
      </x:c>
      <x:c r="D16" s="181" t="str">
        <x:v>Yes</x:v>
      </x:c>
      <x:c r="E16" s="181" t="str">
        <x:v>connector_profile</x:v>
      </x:c>
      <x:c r="F16" s="190" t="n">
        <x:v>0.5</x:v>
      </x:c>
      <x:c r="G16" s="190" t="n">
        <x:v>3</x:v>
      </x:c>
      <x:c r="H16" s="181" t="n">
        <x:v>1.5</x:v>
      </x:c>
      <x:c r="I16" s="181" t="str">
        <x:v>Async</x:v>
      </x:c>
      <x:c r="J16" s="182" t="str">
        <x:v>Profiles object volume, fields, relationships.</x:v>
      </x:c>
    </x:row>
    <x:row r="17" ht="15" hidden="0" customHeight="1">
      <x:c r="A17" s="179" t="str">
        <x:v>/api/v1/connectors/:provider/sync-plan</x:v>
      </x:c>
      <x:c r="B17" s="181" t="str">
        <x:v>POST</x:v>
      </x:c>
      <x:c r="C17" s="181" t="str">
        <x:v>Connector</x:v>
      </x:c>
      <x:c r="D17" s="181" t="str">
        <x:v>Yes</x:v>
      </x:c>
      <x:c r="E17" s="181" t="str">
        <x:v>workflow_orchestration</x:v>
      </x:c>
      <x:c r="F17" s="190" t="n">
        <x:v>1.5</x:v>
      </x:c>
      <x:c r="G17" s="190" t="n">
        <x:v>8</x:v>
      </x:c>
      <x:c r="H17" s="181" t="n">
        <x:v>3</x:v>
      </x:c>
      <x:c r="I17" s="181" t="str">
        <x:v>Async</x:v>
      </x:c>
      <x:c r="J17" s="182" t="str">
        <x:v>Generates ingestion and context plan.</x:v>
      </x:c>
    </x:row>
    <x:row r="18" ht="15" hidden="0" customHeight="1">
      <x:c r="A18" s="179" t="str">
        <x:v>/api/v1/connectors/:provider/writeback</x:v>
      </x:c>
      <x:c r="B18" s="181" t="str">
        <x:v>POST</x:v>
      </x:c>
      <x:c r="C18" s="181" t="str">
        <x:v>Connector</x:v>
      </x:c>
      <x:c r="D18" s="181" t="str">
        <x:v>Yes</x:v>
      </x:c>
      <x:c r="E18" s="181" t="str">
        <x:v>writeback_action</x:v>
      </x:c>
      <x:c r="F18" s="190" t="n">
        <x:v>3</x:v>
      </x:c>
      <x:c r="G18" s="190" t="n">
        <x:v>15</x:v>
      </x:c>
      <x:c r="H18" s="181" t="n">
        <x:v>5</x:v>
      </x:c>
      <x:c r="I18" s="181" t="str">
        <x:v>Async</x:v>
      </x:c>
      <x:c r="J18" s="182" t="str">
        <x:v>Governed enterprise write-back action.</x:v>
      </x:c>
    </x:row>
    <x:row r="19" ht="15" hidden="0" customHeight="1">
      <x:c r="A19" s="179" t="str">
        <x:v>/api/v1/usage-events/:id</x:v>
      </x:c>
      <x:c r="B19" s="181" t="str">
        <x:v>GET</x:v>
      </x:c>
      <x:c r="C19" s="181" t="str">
        <x:v>Metering</x:v>
      </x:c>
      <x:c r="D19" s="181" t="str">
        <x:v>No</x:v>
      </x:c>
      <x:c r="E19" s="181" t="str">
        <x:v>non_billable</x:v>
      </x:c>
      <x:c r="F19" s="190" t="n">
        <x:v>0</x:v>
      </x:c>
      <x:c r="G19" s="190" t="n">
        <x:v>0</x:v>
      </x:c>
      <x:c r="H19" s="181" t="n">
        <x:v>0</x:v>
      </x:c>
      <x:c r="I19" s="181" t="str">
        <x:v>Sync</x:v>
      </x:c>
      <x:c r="J19" s="182" t="str">
        <x:v>Usage event audit detail.</x:v>
      </x:c>
    </x:row>
    <x:row r="20" ht="15" hidden="0" customHeight="1">
      <x:c r="A20" s="179" t="str">
        <x:v>/api/v1/audit-log</x:v>
      </x:c>
      <x:c r="B20" s="181" t="str">
        <x:v>GET</x:v>
      </x:c>
      <x:c r="C20" s="181" t="str">
        <x:v>Audit</x:v>
      </x:c>
      <x:c r="D20" s="181" t="str">
        <x:v>No</x:v>
      </x:c>
      <x:c r="E20" s="181" t="str">
        <x:v>non_billable</x:v>
      </x:c>
      <x:c r="F20" s="190" t="n">
        <x:v>0</x:v>
      </x:c>
      <x:c r="G20" s="190" t="n">
        <x:v>0</x:v>
      </x:c>
      <x:c r="H20" s="181" t="n">
        <x:v>0</x:v>
      </x:c>
      <x:c r="I20" s="181" t="str">
        <x:v>Sync</x:v>
      </x:c>
      <x:c r="J20" s="182" t="str">
        <x:v>Tenant audit trail.</x:v>
      </x:c>
    </x:row>
    <x:row r="21" ht="15" hidden="0" customHeight="1">
      <x:c r="A21" s="179" t="str">
        <x:v>/api/v1/webhooks</x:v>
      </x:c>
      <x:c r="B21" s="181" t="str">
        <x:v>POST</x:v>
      </x:c>
      <x:c r="C21" s="181" t="str">
        <x:v>Integration</x:v>
      </x:c>
      <x:c r="D21" s="181" t="str">
        <x:v>No</x:v>
      </x:c>
      <x:c r="E21" s="181" t="str">
        <x:v>non_billable</x:v>
      </x:c>
      <x:c r="F21" s="190" t="n">
        <x:v>0</x:v>
      </x:c>
      <x:c r="G21" s="190" t="n">
        <x:v>0</x:v>
      </x:c>
      <x:c r="H21" s="181" t="n">
        <x:v>0</x:v>
      </x:c>
      <x:c r="I21" s="181" t="str">
        <x:v>Sync</x:v>
      </x:c>
      <x:c r="J21" s="182" t="str">
        <x:v>Register signed webhook endpoint.</x:v>
      </x:c>
    </x:row>
    <x:row r="22" ht="15" hidden="0" customHeight="1">
      <x:c r="A22" s="179" t="str">
        <x:v>/api/v1/webhook-events/:id/replay</x:v>
      </x:c>
      <x:c r="B22" s="181" t="str">
        <x:v>POST</x:v>
      </x:c>
      <x:c r="C22" s="181" t="str">
        <x:v>Integration</x:v>
      </x:c>
      <x:c r="D22" s="181" t="str">
        <x:v>Conditional</x:v>
      </x:c>
      <x:c r="E22" s="181" t="str">
        <x:v>workflow_orchestration</x:v>
      </x:c>
      <x:c r="F22" s="190" t="n">
        <x:v>0</x:v>
      </x:c>
      <x:c r="G22" s="190" t="n">
        <x:v>1</x:v>
      </x:c>
      <x:c r="H22" s="181" t="n">
        <x:v>0.5</x:v>
      </x:c>
      <x:c r="I22" s="181" t="str">
        <x:v>Async</x:v>
      </x:c>
      <x:c r="J22" s="182" t="str">
        <x:v>Billable only above fair-use or client-side failure threshold.</x:v>
      </x:c>
    </x:row>
    <x:row r="23" ht="15" hidden="0" customHeight="1">
      <x:c r="A23" s="184" t="str">
        <x:v>/api/v1/entitlements</x:v>
      </x:c>
      <x:c r="B23" s="186" t="str">
        <x:v>GET</x:v>
      </x:c>
      <x:c r="C23" s="186" t="str">
        <x:v>Access</x:v>
      </x:c>
      <x:c r="D23" s="186" t="str">
        <x:v>No</x:v>
      </x:c>
      <x:c r="E23" s="186" t="str">
        <x:v>non_billable</x:v>
      </x:c>
      <x:c r="F23" s="191" t="n">
        <x:v>0</x:v>
      </x:c>
      <x:c r="G23" s="191" t="n">
        <x:v>0</x:v>
      </x:c>
      <x:c r="H23" s="186" t="n">
        <x:v>0</x:v>
      </x:c>
      <x:c r="I23" s="186" t="str">
        <x:v>Sync</x:v>
      </x:c>
      <x:c r="J23" s="187" t="str">
        <x:v>Allowed agents, connectors, limits, and scopes.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75" hidden="0" customWidth="1"/>
    <x:col min="2" max="2" width="24.3799991607666" hidden="0" customWidth="1"/>
    <x:col min="3" max="3" width="24.3799991607666" hidden="0" customWidth="1"/>
    <x:col min="4" max="4" width="24.3799991607666" hidden="0" customWidth="1"/>
    <x:col min="5" max="5" width="24.3799991607666" hidden="0" customWidth="1"/>
    <x:col min="6" max="6" width="24.3799991607666" hidden="0" customWidth="1"/>
    <x:col min="7" max="7" width="46.630001068115234" hidden="0" customWidth="1"/>
    <x:col min="8" max="8" width="24.3799991607666" hidden="0" customWidth="1"/>
    <x:col min="9" max="9" width="24.3799991607666" hidden="0" customWidth="1"/>
    <x:col min="10" max="10" width="24.3799991607666" hidden="0" customWidth="1"/>
    <x:col min="11" max="11" width="24.3799991607666" hidden="0" customWidth="1"/>
    <x:col min="12" max="12" width="24.3799991607666" hidden="0" customWidth="1"/>
    <x:col min="13" max="13" width="24.3799991607666" hidden="0" customWidth="1"/>
    <x:col min="14" max="14" width="24.3799991607666" hidden="0" customWidth="1"/>
    <x:col min="15" max="15" width="24.3799991607666" hidden="0" customWidth="1"/>
    <x:col min="16" max="16" width="24.3799991607666" hidden="0" customWidth="1"/>
    <x:col min="17" max="17" width="24.3799991607666" hidden="0" customWidth="1"/>
    <x:col min="18" max="18" width="24.3799991607666" hidden="0" customWidth="1"/>
    <x:col min="19" max="19" width="24.3799991607666" hidden="0" customWidth="1"/>
    <x:col min="20" max="20" width="24.3799991607666" hidden="0" customWidth="1"/>
    <x:col min="21" max="21" width="24.3799991607666" hidden="0" customWidth="1"/>
    <x:col min="22" max="22" width="24.3799991607666" hidden="0" customWidth="1"/>
  </x:cols>
  <x:sheetData>
    <x:row r="1" ht="18" hidden="0" customHeight="1">
      <x:c r="A1" s="151" t="str">
        <x:v>Scenario Pricing Model</x:v>
      </x:c>
      <x:c r="B1" s="151" t="str">
        <x:v>Scenario Pricing Model</x:v>
      </x:c>
      <x:c r="C1" s="151" t="str">
        <x:v>Scenario Pricing Model</x:v>
      </x:c>
      <x:c r="D1" s="151" t="str">
        <x:v>Scenario Pricing Model</x:v>
      </x:c>
      <x:c r="E1" s="151" t="str">
        <x:v>Scenario Pricing Model</x:v>
      </x:c>
      <x:c r="F1" s="151" t="str">
        <x:v>Scenario Pricing Model</x:v>
      </x:c>
      <x:c r="G1" s="151" t="str">
        <x:v>Scenario Pricing Model</x:v>
      </x:c>
      <x:c r="H1" s="151" t="str">
        <x:v>Scenario Pricing Model</x:v>
      </x:c>
      <x:c r="I1" s="151" t="str">
        <x:v>Scenario Pricing Model</x:v>
      </x:c>
      <x:c r="J1" s="151" t="str">
        <x:v>Scenario Pricing Model</x:v>
      </x:c>
      <x:c r="K1" s="151" t="str">
        <x:v>Scenario Pricing Model</x:v>
      </x:c>
      <x:c r="L1" s="151" t="str">
        <x:v>Scenario Pricing Model</x:v>
      </x:c>
      <x:c r="M1" s="151" t="str">
        <x:v>Scenario Pricing Model</x:v>
      </x:c>
      <x:c r="N1" s="151" t="str">
        <x:v>Scenario Pricing Model</x:v>
      </x:c>
      <x:c r="O1" s="151" t="str">
        <x:v>Scenario Pricing Model</x:v>
      </x:c>
      <x:c r="P1" s="151" t="str">
        <x:v>Scenario Pricing Model</x:v>
      </x:c>
      <x:c r="Q1" s="151" t="str">
        <x:v>Scenario Pricing Model</x:v>
      </x:c>
      <x:c r="R1" s="151" t="str">
        <x:v>Scenario Pricing Model</x:v>
      </x:c>
      <x:c r="S1" s="151" t="str">
        <x:v>Scenario Pricing Model</x:v>
      </x:c>
      <x:c r="T1" s="151" t="str">
        <x:v>Scenario Pricing Model</x:v>
      </x:c>
      <x:c r="U1" s="151" t="str">
        <x:v>Scenario Pricing Model</x:v>
      </x:c>
      <x:c r="V1" s="151" t="str">
        <x:v>Scenario Pricing Model</x:v>
      </x:c>
    </x:row>
    <x:row r="2" ht="15" hidden="0" customHeight="1">
      <x:c r="A2" s="152"/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  <x:c r="P2" s="152"/>
      <x:c r="Q2" s="152"/>
      <x:c r="R2" s="152"/>
      <x:c r="S2" s="152"/>
      <x:c r="T2" s="152"/>
      <x:c r="U2" s="152"/>
      <x:c r="V2" s="152"/>
    </x:row>
    <x:row r="3" ht="15" hidden="0" customHeight="1">
      <x:c r="A3" s="154" t="str">
        <x:v>Inputs</x:v>
      </x:c>
      <x:c r="B3" s="155"/>
      <x:c r="C3" s="155"/>
      <x:c r="D3" s="155"/>
      <x:c r="E3" s="155"/>
      <x:c r="F3" s="155"/>
      <x:c r="G3" s="155"/>
      <x:c r="H3" s="155"/>
      <x:c r="I3" s="155"/>
      <x:c r="J3" s="155"/>
      <x:c r="K3" s="155" t="str">
        <x:v>Cost Build</x:v>
      </x:c>
      <x:c r="L3" s="155"/>
      <x:c r="M3" s="155"/>
      <x:c r="N3" s="155"/>
      <x:c r="O3" s="155" t="str">
        <x:v>Pricing</x:v>
      </x:c>
      <x:c r="P3" s="155"/>
      <x:c r="Q3" s="155"/>
      <x:c r="R3" s="155"/>
      <x:c r="S3" s="155"/>
      <x:c r="T3" s="155" t="str">
        <x:v>Outcome</x:v>
      </x:c>
      <x:c r="U3" s="155"/>
      <x:c r="V3" s="156"/>
    </x:row>
    <x:row r="4" ht="15" hidden="0" customHeight="1">
      <x:c r="A4" s="152"/>
      <x:c r="B4" s="152"/>
      <x:c r="C4" s="152"/>
      <x:c r="D4" s="152"/>
      <x:c r="E4" s="152"/>
      <x:c r="F4" s="152"/>
      <x:c r="G4" s="152"/>
      <x:c r="H4" s="152"/>
      <x:c r="I4" s="152"/>
      <x:c r="J4" s="152"/>
      <x:c r="K4" s="152"/>
      <x:c r="L4" s="152"/>
      <x:c r="M4" s="152"/>
      <x:c r="N4" s="152"/>
      <x:c r="O4" s="152"/>
      <x:c r="P4" s="152"/>
      <x:c r="Q4" s="152"/>
      <x:c r="R4" s="152"/>
      <x:c r="S4" s="152"/>
      <x:c r="T4" s="152"/>
      <x:c r="U4" s="152"/>
      <x:c r="V4" s="152"/>
    </x:row>
    <x:row r="5" ht="15" hidden="0" customHeight="1">
      <x:c r="A5" s="176" t="str">
        <x:v>Scenario</x:v>
      </x:c>
      <x:c r="B5" s="177" t="str">
        <x:v>ARR</x:v>
      </x:c>
      <x:c r="C5" s="177" t="str">
        <x:v>Annual Value Pool</x:v>
      </x:c>
      <x:c r="D5" s="177" t="str">
        <x:v>Agents Needed</x:v>
      </x:c>
      <x:c r="E5" s="177" t="str">
        <x:v>Annual Calls</x:v>
      </x:c>
      <x:c r="F5" s="177" t="str">
        <x:v>Monthly Calls</x:v>
      </x:c>
      <x:c r="G5" s="177" t="str">
        <x:v>Call Mix</x:v>
      </x:c>
      <x:c r="H5" s="177" t="str">
        <x:v>Relevance</x:v>
      </x:c>
      <x:c r="I5" s="177" t="str">
        <x:v>Attribution</x:v>
      </x:c>
      <x:c r="J5" s="177" t="str">
        <x:v>Confidence</x:v>
      </x:c>
      <x:c r="K5" s="177" t="str">
        <x:v>Model Cost/Call</x:v>
      </x:c>
      <x:c r="L5" s="177" t="str">
        <x:v>Infra Cost/Call</x:v>
      </x:c>
      <x:c r="M5" s="177" t="str">
        <x:v>Support+Security/Call</x:v>
      </x:c>
      <x:c r="N5" s="177" t="str">
        <x:v>Fully Loaded Cost/Call</x:v>
      </x:c>
      <x:c r="O5" s="177" t="str">
        <x:v>Volume Discount</x:v>
      </x:c>
      <x:c r="P5" s="177" t="str">
        <x:v>Recommended $/Call</x:v>
      </x:c>
      <x:c r="Q5" s="177" t="str">
        <x:v>Annual API Revenue</x:v>
      </x:c>
      <x:c r="R5" s="177" t="str">
        <x:v>Annual Cost</x:v>
      </x:c>
      <x:c r="S5" s="177" t="str">
        <x:v>Gross Profit</x:v>
      </x:c>
      <x:c r="T5" s="177" t="str">
        <x:v>Gross Margin</x:v>
      </x:c>
      <x:c r="U5" s="177" t="str">
        <x:v>Advisory Fee</x:v>
      </x:c>
      <x:c r="V5" s="178" t="str">
        <x:v>Deposit</x:v>
      </x:c>
    </x:row>
    <x:row r="6" ht="15" hidden="0" customHeight="1">
      <x:c r="A6" s="179" t="str">
        <x:v>Self-Service RevOps Pilot</x:v>
      </x:c>
      <x:c r="B6" s="209" t="n">
        <x:v>12000000</x:v>
      </x:c>
      <x:c r="C6" s="209" t="n">
        <x:v>250000</x:v>
      </x:c>
      <x:c r="D6" s="210" t="n">
        <x:v>2</x:v>
      </x:c>
      <x:c r="E6" s="211" t="n">
        <x:v>60000</x:v>
      </x:c>
      <x:c r="F6" s="211" t="n">
        <x:f>E6/12</x:f>
        <x:v>5000</x:v>
      </x:c>
      <x:c r="G6" s="210" t="str">
        <x:v>65% context / 35% reasoning</x:v>
      </x:c>
      <x:c r="H6" s="180" t="n">
        <x:v>0.65</x:v>
      </x:c>
      <x:c r="I6" s="180" t="n">
        <x:v>0.18</x:v>
      </x:c>
      <x:c r="J6" s="180" t="n">
        <x:v>0.6</x:v>
      </x:c>
      <x:c r="K6" s="183" t="n">
        <x:v>0.05</x:v>
      </x:c>
      <x:c r="L6" s="212" t="n">
        <x:f>'Assumptions'!B14+'Assumptions'!B15+'Assumptions'!B16</x:f>
        <x:v>0.05</x:v>
      </x:c>
      <x:c r="M6" s="212" t="n">
        <x:f>'Assumptions'!B17+'Assumptions'!B18</x:f>
        <x:v>0.06</x:v>
      </x:c>
      <x:c r="N6" s="212" t="n">
        <x:f>K6+L6+M6</x:f>
        <x:v>0.16</x:v>
      </x:c>
      <x:c r="O6" s="213" t="n">
        <x:f>IF(F6&gt;1000000,'Assumptions'!B12,IF(F6&gt;250000,'Assumptions'!B11,IF(F6&gt;50000,'Assumptions'!B10,IF(F6&gt;10000,'Assumptions'!B9,'Assumptions'!B8))))</x:f>
        <x:v>0</x:v>
      </x:c>
      <x:c r="P6" s="214" t="n">
        <x:f>MAX((C6*H6*I6*J6/E6)*(1-O6),N6/(1-'Assumptions'!B4))</x:f>
        <x:v>0.64</x:v>
      </x:c>
      <x:c r="Q6" s="215" t="n">
        <x:f>P6*E6</x:f>
        <x:v>38400</x:v>
      </x:c>
      <x:c r="R6" s="215" t="n">
        <x:f>N6*E6</x:f>
        <x:v>9600</x:v>
      </x:c>
      <x:c r="S6" s="215" t="n">
        <x:f>Q6-R6</x:f>
        <x:v>28800</x:v>
      </x:c>
      <x:c r="T6" s="213" t="n">
        <x:f>S6/Q6</x:f>
        <x:v>0.75</x:v>
      </x:c>
      <x:c r="U6" s="209" t="n">
        <x:v>40000</x:v>
      </x:c>
      <x:c r="V6" s="216" t="n">
        <x:f>U6*'Assumptions'!B13</x:f>
        <x:v>10000</x:v>
      </x:c>
    </x:row>
    <x:row r="7" ht="15" hidden="0" customHeight="1">
      <x:c r="A7" s="179" t="str">
        <x:v>Growth PE-Backed SaaS</x:v>
      </x:c>
      <x:c r="B7" s="209" t="n">
        <x:v>85000000</x:v>
      </x:c>
      <x:c r="C7" s="209" t="n">
        <x:v>1800000</x:v>
      </x:c>
      <x:c r="D7" s="210" t="n">
        <x:v>6</x:v>
      </x:c>
      <x:c r="E7" s="211" t="n">
        <x:v>250000</x:v>
      </x:c>
      <x:c r="F7" s="211" t="n">
        <x:f>E7/12</x:f>
        <x:v>20833.333333333332</x:v>
      </x:c>
      <x:c r="G7" s="210" t="str">
        <x:v>40% context / 40% reasoning / 20% workflow</x:v>
      </x:c>
      <x:c r="H7" s="180" t="n">
        <x:v>0.8</x:v>
      </x:c>
      <x:c r="I7" s="180" t="n">
        <x:v>0.25</x:v>
      </x:c>
      <x:c r="J7" s="180" t="n">
        <x:v>0.7</x:v>
      </x:c>
      <x:c r="K7" s="183" t="n">
        <x:v>0.09</x:v>
      </x:c>
      <x:c r="L7" s="212" t="n">
        <x:f>'Assumptions'!B14+'Assumptions'!B15+'Assumptions'!B16</x:f>
        <x:v>0.05</x:v>
      </x:c>
      <x:c r="M7" s="212" t="n">
        <x:f>'Assumptions'!B17+'Assumptions'!B18</x:f>
        <x:v>0.06</x:v>
      </x:c>
      <x:c r="N7" s="212" t="n">
        <x:f>K7+L7+M7</x:f>
        <x:v>0.2</x:v>
      </x:c>
      <x:c r="O7" s="213" t="n">
        <x:f>IF(F7&gt;1000000,'Assumptions'!B12,IF(F7&gt;250000,'Assumptions'!B11,IF(F7&gt;50000,'Assumptions'!B10,IF(F7&gt;10000,'Assumptions'!B9,'Assumptions'!B8))))</x:f>
        <x:v>0.1</x:v>
      </x:c>
      <x:c r="P7" s="214" t="n">
        <x:f>MAX((C7*H7*I7*J7/E7)*(1-O7),N7/(1-'Assumptions'!B4))</x:f>
        <x:v>0.9071999999999998</x:v>
      </x:c>
      <x:c r="Q7" s="215" t="n">
        <x:f>P7*E7</x:f>
        <x:v>226799.99999999994</x:v>
      </x:c>
      <x:c r="R7" s="215" t="n">
        <x:f>N7*E7</x:f>
        <x:v>50000</x:v>
      </x:c>
      <x:c r="S7" s="215" t="n">
        <x:f>Q7-R7</x:f>
        <x:v>176799.99999999994</x:v>
      </x:c>
      <x:c r="T7" s="213" t="n">
        <x:f>S7/Q7</x:f>
        <x:v>0.7795414462081128</x:v>
      </x:c>
      <x:c r="U7" s="209" t="n">
        <x:v>125000</x:v>
      </x:c>
      <x:c r="V7" s="216" t="n">
        <x:f>U7*'Assumptions'!B13</x:f>
        <x:v>31250</x:v>
      </x:c>
    </x:row>
    <x:row r="8" ht="15" hidden="0" customHeight="1">
      <x:c r="A8" s="179" t="str">
        <x:v>Enterprise Revenue Intelligence</x:v>
      </x:c>
      <x:c r="B8" s="209" t="n">
        <x:v>350000000</x:v>
      </x:c>
      <x:c r="C8" s="209" t="n">
        <x:v>7500000</x:v>
      </x:c>
      <x:c r="D8" s="210" t="n">
        <x:v>18</x:v>
      </x:c>
      <x:c r="E8" s="211" t="n">
        <x:v>1200000</x:v>
      </x:c>
      <x:c r="F8" s="211" t="n">
        <x:f>E8/12</x:f>
        <x:v>100000</x:v>
      </x:c>
      <x:c r="G8" s="210" t="str">
        <x:v>25% context / 45% reasoning / 20% workflow / 10% writeback</x:v>
      </x:c>
      <x:c r="H8" s="180" t="n">
        <x:v>0.85</x:v>
      </x:c>
      <x:c r="I8" s="180" t="n">
        <x:v>0.22</x:v>
      </x:c>
      <x:c r="J8" s="180" t="n">
        <x:v>0.65</x:v>
      </x:c>
      <x:c r="K8" s="183" t="n">
        <x:v>0.14</x:v>
      </x:c>
      <x:c r="L8" s="212" t="n">
        <x:f>'Assumptions'!B14+'Assumptions'!B15+'Assumptions'!B16</x:f>
        <x:v>0.05</x:v>
      </x:c>
      <x:c r="M8" s="212" t="n">
        <x:f>'Assumptions'!B17+'Assumptions'!B18</x:f>
        <x:v>0.06</x:v>
      </x:c>
      <x:c r="N8" s="212" t="n">
        <x:f>K8+L8+M8</x:f>
        <x:v>0.25</x:v>
      </x:c>
      <x:c r="O8" s="213" t="n">
        <x:f>IF(F8&gt;1000000,'Assumptions'!B12,IF(F8&gt;250000,'Assumptions'!B11,IF(F8&gt;50000,'Assumptions'!B10,IF(F8&gt;10000,'Assumptions'!B9,'Assumptions'!B8))))</x:f>
        <x:v>0.2</x:v>
      </x:c>
      <x:c r="P8" s="214" t="n">
        <x:f>MAX((C8*H8*I8*J8/E8)*(1-O8),N8/(1-'Assumptions'!B4))</x:f>
        <x:v>1</x:v>
      </x:c>
      <x:c r="Q8" s="215" t="n">
        <x:f>P8*E8</x:f>
        <x:v>1200000</x:v>
      </x:c>
      <x:c r="R8" s="215" t="n">
        <x:f>N8*E8</x:f>
        <x:v>300000</x:v>
      </x:c>
      <x:c r="S8" s="215" t="n">
        <x:f>Q8-R8</x:f>
        <x:v>900000</x:v>
      </x:c>
      <x:c r="T8" s="213" t="n">
        <x:f>S8/Q8</x:f>
        <x:v>0.75</x:v>
      </x:c>
      <x:c r="U8" s="209" t="n">
        <x:v>250000</x:v>
      </x:c>
      <x:c r="V8" s="216" t="n">
        <x:f>U8*'Assumptions'!B13</x:f>
        <x:v>62500</x:v>
      </x:c>
    </x:row>
    <x:row r="9" ht="15" hidden="0" customHeight="1">
      <x:c r="A9" s="179" t="str">
        <x:v>PE Portfolio Rollout</x:v>
      </x:c>
      <x:c r="B9" s="209" t="n">
        <x:v>1200000000</x:v>
      </x:c>
      <x:c r="C9" s="209" t="n">
        <x:v>25000000</x:v>
      </x:c>
      <x:c r="D9" s="210" t="n">
        <x:v>40</x:v>
      </x:c>
      <x:c r="E9" s="211" t="n">
        <x:v>6000000</x:v>
      </x:c>
      <x:c r="F9" s="211" t="n">
        <x:f>E9/12</x:f>
        <x:v>500000</x:v>
      </x:c>
      <x:c r="G9" s="210" t="str">
        <x:v>30% context / 35% reasoning / 25% workflow / 10% decision</x:v>
      </x:c>
      <x:c r="H9" s="180" t="n">
        <x:v>0.9</x:v>
      </x:c>
      <x:c r="I9" s="180" t="n">
        <x:v>0.18</x:v>
      </x:c>
      <x:c r="J9" s="180" t="n">
        <x:v>0.7</x:v>
      </x:c>
      <x:c r="K9" s="183" t="n">
        <x:v>0.11</x:v>
      </x:c>
      <x:c r="L9" s="212" t="n">
        <x:f>'Assumptions'!B14+'Assumptions'!B15+'Assumptions'!B16</x:f>
        <x:v>0.05</x:v>
      </x:c>
      <x:c r="M9" s="212" t="n">
        <x:f>'Assumptions'!B17+'Assumptions'!B18</x:f>
        <x:v>0.06</x:v>
      </x:c>
      <x:c r="N9" s="212" t="n">
        <x:f>K9+L9+M9</x:f>
        <x:v>0.22</x:v>
      </x:c>
      <x:c r="O9" s="213" t="n">
        <x:f>IF(F9&gt;1000000,'Assumptions'!B12,IF(F9&gt;250000,'Assumptions'!B11,IF(F9&gt;50000,'Assumptions'!B10,IF(F9&gt;10000,'Assumptions'!B9,'Assumptions'!B8))))</x:f>
        <x:v>0.3</x:v>
      </x:c>
      <x:c r="P9" s="214" t="n">
        <x:f>MAX((C9*H9*I9*J9/E9)*(1-O9),N9/(1-'Assumptions'!B4))</x:f>
        <x:v>0.88</x:v>
      </x:c>
      <x:c r="Q9" s="215" t="n">
        <x:f>P9*E9</x:f>
        <x:v>5280000</x:v>
      </x:c>
      <x:c r="R9" s="215" t="n">
        <x:f>N9*E9</x:f>
        <x:v>1320000</x:v>
      </x:c>
      <x:c r="S9" s="215" t="n">
        <x:f>Q9-R9</x:f>
        <x:v>3960000</x:v>
      </x:c>
      <x:c r="T9" s="213" t="n">
        <x:f>S9/Q9</x:f>
        <x:v>0.75</x:v>
      </x:c>
      <x:c r="U9" s="209" t="n">
        <x:v>500000</x:v>
      </x:c>
      <x:c r="V9" s="216" t="n">
        <x:f>U9*'Assumptions'!B13</x:f>
        <x:v>125000</x:v>
      </x:c>
    </x:row>
    <x:row r="10" ht="15" hidden="0" customHeight="1">
      <x:c r="A10" s="184" t="str">
        <x:v>High-Governance ERP Writeback</x:v>
      </x:c>
      <x:c r="B10" s="217" t="n">
        <x:v>600000000</x:v>
      </x:c>
      <x:c r="C10" s="217" t="n">
        <x:v>12000000</x:v>
      </x:c>
      <x:c r="D10" s="218" t="n">
        <x:v>25</x:v>
      </x:c>
      <x:c r="E10" s="219" t="n">
        <x:v>1800000</x:v>
      </x:c>
      <x:c r="F10" s="219" t="n">
        <x:f>E10/12</x:f>
        <x:v>150000</x:v>
      </x:c>
      <x:c r="G10" s="218" t="str">
        <x:v>20% context / 30% reasoning / 20% workflow / 30% writeback</x:v>
      </x:c>
      <x:c r="H10" s="220" t="n">
        <x:v>0.9</x:v>
      </x:c>
      <x:c r="I10" s="220" t="n">
        <x:v>0.24</x:v>
      </x:c>
      <x:c r="J10" s="220" t="n">
        <x:v>0.6</x:v>
      </x:c>
      <x:c r="K10" s="185" t="n">
        <x:v>0.22</x:v>
      </x:c>
      <x:c r="L10" s="221" t="n">
        <x:f>'Assumptions'!B14+'Assumptions'!B15+'Assumptions'!B16</x:f>
        <x:v>0.05</x:v>
      </x:c>
      <x:c r="M10" s="221" t="n">
        <x:f>'Assumptions'!B17+'Assumptions'!B18</x:f>
        <x:v>0.06</x:v>
      </x:c>
      <x:c r="N10" s="221" t="n">
        <x:f>K10+L10+M10</x:f>
        <x:v>0.33</x:v>
      </x:c>
      <x:c r="O10" s="222" t="n">
        <x:f>IF(F10&gt;1000000,'Assumptions'!B12,IF(F10&gt;250000,'Assumptions'!B11,IF(F10&gt;50000,'Assumptions'!B10,IF(F10&gt;10000,'Assumptions'!B9,'Assumptions'!B8))))</x:f>
        <x:v>0.2</x:v>
      </x:c>
      <x:c r="P10" s="223" t="n">
        <x:f>MAX((C10*H10*I10*J10/E10)*(1-O10),N10/(1-'Assumptions'!B4))</x:f>
        <x:v>1.32</x:v>
      </x:c>
      <x:c r="Q10" s="224" t="n">
        <x:f>P10*E10</x:f>
        <x:v>2376000</x:v>
      </x:c>
      <x:c r="R10" s="224" t="n">
        <x:f>N10*E10</x:f>
        <x:v>594000</x:v>
      </x:c>
      <x:c r="S10" s="224" t="n">
        <x:f>Q10-R10</x:f>
        <x:v>1782000</x:v>
      </x:c>
      <x:c r="T10" s="222" t="n">
        <x:f>S10/Q10</x:f>
        <x:v>0.75</x:v>
      </x:c>
      <x:c r="U10" s="217" t="n">
        <x:v>300000</x:v>
      </x:c>
      <x:c r="V10" s="225" t="n">
        <x:f>U10*'Assumptions'!B13</x:f>
        <x:v>75000</x:v>
      </x:c>
    </x:row>
  </x:sheetData>
  <x:mergeCells>
    <x:mergeCell ref="A1:V1"/>
    <x:mergeCell ref="A3:J3"/>
    <x:mergeCell ref="K3:N3"/>
    <x:mergeCell ref="O3:S3"/>
    <x:mergeCell ref="T3:V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880001068115234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31.6299991607666" hidden="0" customWidth="1"/>
    <x:col min="7" max="7" width="31.6299991607666" hidden="0" customWidth="1"/>
    <x:col min="8" max="8" width="31.6299991607666" hidden="0" customWidth="1"/>
  </x:cols>
  <x:sheetData>
    <x:row r="1" ht="18" hidden="0" customHeight="1">
      <x:c r="A1" s="151" t="str">
        <x:v>Margin And Pricing Sensitivity</x:v>
      </x:c>
      <x:c r="B1" s="151" t="str">
        <x:v>Margin And Pricing Sensitivity</x:v>
      </x:c>
      <x:c r="C1" s="151" t="str">
        <x:v>Margin And Pricing Sensitivity</x:v>
      </x:c>
      <x:c r="D1" s="151" t="str">
        <x:v>Margin And Pricing Sensitivity</x:v>
      </x:c>
      <x:c r="E1" s="151" t="str">
        <x:v>Margin And Pricing Sensitivity</x:v>
      </x:c>
      <x:c r="F1" s="151" t="str">
        <x:v>Margin And Pricing Sensitivity</x:v>
      </x:c>
      <x:c r="G1" s="151" t="str">
        <x:v>Margin And Pricing Sensitivity</x:v>
      </x:c>
      <x:c r="H1" s="151" t="str">
        <x:v>Margin And Pricing Sensitivity</x:v>
      </x:c>
    </x:row>
    <x:row r="2" ht="15" hidden="0" customHeight="1">
      <x:c r="A2" s="152"/>
      <x:c r="B2" s="152"/>
      <x:c r="C2" s="152"/>
      <x:c r="D2" s="152"/>
      <x:c r="E2" s="152"/>
      <x:c r="F2" s="152"/>
      <x:c r="G2" s="152"/>
      <x:c r="H2" s="152"/>
    </x:row>
    <x:row r="3" ht="15" hidden="0" customHeight="1">
      <x:c r="A3" s="154" t="str">
        <x:v>Scenario</x:v>
      </x:c>
      <x:c r="B3" s="155" t="str">
        <x:v>Fully Loaded Cost</x:v>
      </x:c>
      <x:c r="C3" s="155" t="str">
        <x:v>Price @ 60% GM</x:v>
      </x:c>
      <x:c r="D3" s="155" t="str">
        <x:v>Price @ 70% GM</x:v>
      </x:c>
      <x:c r="E3" s="155" t="str">
        <x:v>Price @ 75% GM</x:v>
      </x:c>
      <x:c r="F3" s="155" t="str">
        <x:v>Price @ 80% GM</x:v>
      </x:c>
      <x:c r="G3" s="155" t="str">
        <x:v>Price @ 85% GM</x:v>
      </x:c>
      <x:c r="H3" s="156" t="str">
        <x:v>Price @ 90% GM</x:v>
      </x:c>
    </x:row>
    <x:row r="4" ht="15" hidden="0" customHeight="1">
      <x:c r="A4" s="157" t="str">
        <x:f>'Scenarios'!A6</x:f>
        <x:v>Self-Service RevOps Pilot</x:v>
      </x:c>
      <x:c r="B4" s="235" t="n">
        <x:f>'Scenarios'!N6</x:f>
        <x:v>0.16</x:v>
      </x:c>
      <x:c r="C4" s="235" t="n">
        <x:f>$B4/(1-60%)</x:f>
        <x:v>0.39999999999999997</x:v>
      </x:c>
      <x:c r="D4" s="235" t="n">
        <x:f>$B4/(1-70%)</x:f>
        <x:v>0.5333333333333332</x:v>
      </x:c>
      <x:c r="E4" s="235" t="n">
        <x:f>$B4/(1-75%)</x:f>
        <x:v>0.64</x:v>
      </x:c>
      <x:c r="F4" s="235" t="n">
        <x:f>$B4/(1-80%)</x:f>
        <x:v>0.8000000000000002</x:v>
      </x:c>
      <x:c r="G4" s="235" t="n">
        <x:f>$B4/(1-85%)</x:f>
        <x:v>1.0666666666666664</x:v>
      </x:c>
      <x:c r="H4" s="236" t="n">
        <x:f>$B4/(1-90%)</x:f>
        <x:v>1.6000000000000003</x:v>
      </x:c>
    </x:row>
    <x:row r="5" ht="15" hidden="0" customHeight="1">
      <x:c r="A5" s="160" t="str">
        <x:f>'Scenarios'!A7</x:f>
        <x:v>Growth PE-Backed SaaS</x:v>
      </x:c>
      <x:c r="B5" s="237" t="n">
        <x:f>'Scenarios'!N7</x:f>
        <x:v>0.2</x:v>
      </x:c>
      <x:c r="C5" s="237" t="n">
        <x:f>$B5/(1-60%)</x:f>
        <x:v>0.5</x:v>
      </x:c>
      <x:c r="D5" s="237" t="n">
        <x:f>$B5/(1-70%)</x:f>
        <x:v>0.6666666666666666</x:v>
      </x:c>
      <x:c r="E5" s="237" t="n">
        <x:f>$B5/(1-75%)</x:f>
        <x:v>0.8</x:v>
      </x:c>
      <x:c r="F5" s="237" t="n">
        <x:f>$B5/(1-80%)</x:f>
        <x:v>1.0000000000000002</x:v>
      </x:c>
      <x:c r="G5" s="237" t="n">
        <x:f>$B5/(1-85%)</x:f>
        <x:v>1.3333333333333333</x:v>
      </x:c>
      <x:c r="H5" s="238" t="n">
        <x:f>$B5/(1-90%)</x:f>
        <x:v>2.0000000000000004</x:v>
      </x:c>
    </x:row>
    <x:row r="6" ht="15" hidden="0" customHeight="1">
      <x:c r="A6" s="160" t="str">
        <x:f>'Scenarios'!A8</x:f>
        <x:v>Enterprise Revenue Intelligence</x:v>
      </x:c>
      <x:c r="B6" s="237" t="n">
        <x:f>'Scenarios'!N8</x:f>
        <x:v>0.25</x:v>
      </x:c>
      <x:c r="C6" s="237" t="n">
        <x:f>$B6/(1-60%)</x:f>
        <x:v>0.625</x:v>
      </x:c>
      <x:c r="D6" s="237" t="n">
        <x:f>$B6/(1-70%)</x:f>
        <x:v>0.8333333333333333</x:v>
      </x:c>
      <x:c r="E6" s="237" t="n">
        <x:f>$B6/(1-75%)</x:f>
        <x:v>1</x:v>
      </x:c>
      <x:c r="F6" s="237" t="n">
        <x:f>$B6/(1-80%)</x:f>
        <x:v>1.2500000000000002</x:v>
      </x:c>
      <x:c r="G6" s="237" t="n">
        <x:f>$B6/(1-85%)</x:f>
        <x:v>1.6666666666666665</x:v>
      </x:c>
      <x:c r="H6" s="238" t="n">
        <x:f>$B6/(1-90%)</x:f>
        <x:v>2.5000000000000004</x:v>
      </x:c>
    </x:row>
    <x:row r="7" ht="15" hidden="0" customHeight="1">
      <x:c r="A7" s="160" t="str">
        <x:f>'Scenarios'!A9</x:f>
        <x:v>PE Portfolio Rollout</x:v>
      </x:c>
      <x:c r="B7" s="237" t="n">
        <x:f>'Scenarios'!N9</x:f>
        <x:v>0.22</x:v>
      </x:c>
      <x:c r="C7" s="237" t="n">
        <x:f>$B7/(1-60%)</x:f>
        <x:v>0.5499999999999999</x:v>
      </x:c>
      <x:c r="D7" s="237" t="n">
        <x:f>$B7/(1-70%)</x:f>
        <x:v>0.7333333333333333</x:v>
      </x:c>
      <x:c r="E7" s="237" t="n">
        <x:f>$B7/(1-75%)</x:f>
        <x:v>0.88</x:v>
      </x:c>
      <x:c r="F7" s="237" t="n">
        <x:f>$B7/(1-80%)</x:f>
        <x:v>1.1000000000000003</x:v>
      </x:c>
      <x:c r="G7" s="237" t="n">
        <x:f>$B7/(1-85%)</x:f>
        <x:v>1.4666666666666666</x:v>
      </x:c>
      <x:c r="H7" s="238" t="n">
        <x:f>$B7/(1-90%)</x:f>
        <x:v>2.2000000000000006</x:v>
      </x:c>
    </x:row>
    <x:row r="8" ht="15" hidden="0" customHeight="1">
      <x:c r="A8" s="163" t="str">
        <x:f>'Scenarios'!A10</x:f>
        <x:v>High-Governance ERP Writeback</x:v>
      </x:c>
      <x:c r="B8" s="239" t="n">
        <x:f>'Scenarios'!N10</x:f>
        <x:v>0.33</x:v>
      </x:c>
      <x:c r="C8" s="239" t="n">
        <x:f>$B8/(1-60%)</x:f>
        <x:v>0.825</x:v>
      </x:c>
      <x:c r="D8" s="239" t="n">
        <x:f>$B8/(1-70%)</x:f>
        <x:v>1.0999999999999999</x:v>
      </x:c>
      <x:c r="E8" s="239" t="n">
        <x:f>$B8/(1-75%)</x:f>
        <x:v>1.32</x:v>
      </x:c>
      <x:c r="F8" s="239" t="n">
        <x:f>$B8/(1-80%)</x:f>
        <x:v>1.6500000000000004</x:v>
      </x:c>
      <x:c r="G8" s="239" t="n">
        <x:f>$B8/(1-85%)</x:f>
        <x:v>2.1999999999999997</x:v>
      </x:c>
      <x:c r="H8" s="240" t="n">
        <x:f>$B8/(1-90%)</x:f>
        <x:v>3.3000000000000007</x:v>
      </x:c>
    </x:row>
    <x:row r="9" ht="15" hidden="0" customHeight="1">
      <x:c r="A9" s="152"/>
      <x:c r="B9" s="152"/>
      <x:c r="C9" s="152"/>
      <x:c r="D9" s="152"/>
      <x:c r="E9" s="152"/>
      <x:c r="F9" s="152"/>
      <x:c r="G9" s="152"/>
      <x:c r="H9" s="152"/>
    </x:row>
    <x:row r="10" ht="15" hidden="0" customHeight="1">
      <x:c r="A10" s="152"/>
      <x:c r="B10" s="152"/>
      <x:c r="C10" s="152"/>
      <x:c r="D10" s="152"/>
      <x:c r="E10" s="152"/>
      <x:c r="F10" s="152"/>
      <x:c r="G10" s="152"/>
      <x:c r="H10" s="152"/>
    </x:row>
    <x:row r="11" ht="15" hidden="0" customHeight="1">
      <x:c r="A11" s="154" t="str">
        <x:v>Attribution Share Sensitivity For Growth Scenario</x:v>
      </x:c>
      <x:c r="B11" s="155"/>
      <x:c r="C11" s="155"/>
      <x:c r="D11" s="155"/>
      <x:c r="E11" s="155"/>
      <x:c r="F11" s="155"/>
      <x:c r="G11" s="155"/>
      <x:c r="H11" s="156"/>
    </x:row>
    <x:row r="12" ht="15" hidden="0" customHeight="1">
      <x:c r="A12" s="152"/>
      <x:c r="B12" s="152"/>
      <x:c r="C12" s="152"/>
      <x:c r="D12" s="152"/>
      <x:c r="E12" s="152"/>
      <x:c r="F12" s="152"/>
      <x:c r="G12" s="152"/>
      <x:c r="H12" s="152"/>
    </x:row>
    <x:row r="13" ht="15" hidden="0" customHeight="1">
      <x:c r="A13" s="154" t="str">
        <x:v>Attribution</x:v>
      </x:c>
      <x:c r="B13" s="155" t="str">
        <x:v>10%</x:v>
      </x:c>
      <x:c r="C13" s="155" t="str">
        <x:v>15%</x:v>
      </x:c>
      <x:c r="D13" s="155" t="str">
        <x:v>20%</x:v>
      </x:c>
      <x:c r="E13" s="155" t="str">
        <x:v>25%</x:v>
      </x:c>
      <x:c r="F13" s="155" t="str">
        <x:v>30%</x:v>
      </x:c>
      <x:c r="G13" s="155" t="str">
        <x:v>35%</x:v>
      </x:c>
      <x:c r="H13" s="156" t="str">
        <x:v>40%</x:v>
      </x:c>
    </x:row>
    <x:row r="14" ht="15" hidden="0" customHeight="1">
      <x:c r="A14" s="241" t="str">
        <x:v>Recommended $/Call</x:v>
      </x:c>
      <x:c r="B14" s="242" t="n">
        <x:f>MAX(('Scenarios'!C7*'Scenarios'!H7*10%*'Scenarios'!J7/'Scenarios'!E7)*(1-'Scenarios'!O7),'Scenarios'!N7/(1-'Assumptions'!B4))</x:f>
        <x:v>0.8</x:v>
      </x:c>
      <x:c r="C14" s="242" t="n">
        <x:f>MAX(('Scenarios'!C7*'Scenarios'!H7*15%*'Scenarios'!J7/'Scenarios'!E7)*(1-'Scenarios'!O7),'Scenarios'!N7/(1-'Assumptions'!B4))</x:f>
        <x:v>0.8</x:v>
      </x:c>
      <x:c r="D14" s="242" t="n">
        <x:f>MAX(('Scenarios'!C7*'Scenarios'!H7*20%*'Scenarios'!J7/'Scenarios'!E7)*(1-'Scenarios'!O7),'Scenarios'!N7/(1-'Assumptions'!B4))</x:f>
        <x:v>0.8</x:v>
      </x:c>
      <x:c r="E14" s="242" t="n">
        <x:f>MAX(('Scenarios'!C7*'Scenarios'!H7*25%*'Scenarios'!J7/'Scenarios'!E7)*(1-'Scenarios'!O7),'Scenarios'!N7/(1-'Assumptions'!B4))</x:f>
        <x:v>0.9071999999999998</x:v>
      </x:c>
      <x:c r="F14" s="242" t="n">
        <x:f>MAX(('Scenarios'!C7*'Scenarios'!H7*30%*'Scenarios'!J7/'Scenarios'!E7)*(1-'Scenarios'!O7),'Scenarios'!N7/(1-'Assumptions'!B4))</x:f>
        <x:v>1.08864</x:v>
      </x:c>
      <x:c r="G14" s="242" t="n">
        <x:f>MAX(('Scenarios'!C7*'Scenarios'!H7*35%*'Scenarios'!J7/'Scenarios'!E7)*(1-'Scenarios'!O7),'Scenarios'!N7/(1-'Assumptions'!B4))</x:f>
        <x:v>1.2700799999999999</x:v>
      </x:c>
      <x:c r="H14" s="243" t="n">
        <x:f>MAX(('Scenarios'!C7*'Scenarios'!H7*40%*'Scenarios'!J7/'Scenarios'!E7)*(1-'Scenarios'!O7),'Scenarios'!N7/(1-'Assumptions'!B4))</x:f>
        <x:v>1.4515200000000001</x:v>
      </x:c>
    </x:row>
  </x:sheetData>
  <x:mergeCells>
    <x:mergeCell ref="A1:H1"/>
    <x:mergeCell ref="A11:H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6.630001068115234" hidden="0" customWidth="1"/>
    <x:col min="3" max="3" width="35" hidden="0" customWidth="1"/>
    <x:col min="4" max="4" width="35" hidden="0" customWidth="1"/>
    <x:col min="5" max="5" width="47.880001068115234" hidden="0" customWidth="1"/>
    <x:col min="6" max="6" width="35" hidden="0" customWidth="1"/>
    <x:col min="7" max="7" width="35" hidden="0" customWidth="1"/>
    <x:col min="8" max="8" width="35" hidden="0" customWidth="1"/>
  </x:cols>
  <x:sheetData>
    <x:row r="1" ht="18" hidden="0" customHeight="1">
      <x:c r="A1" s="151" t="str">
        <x:v>Token And Metering Architecture</x:v>
      </x:c>
      <x:c r="B1" s="151" t="str">
        <x:v>Token And Metering Architecture</x:v>
      </x:c>
      <x:c r="C1" s="151" t="str">
        <x:v>Token And Metering Architecture</x:v>
      </x:c>
      <x:c r="D1" s="151" t="str">
        <x:v>Token And Metering Architecture</x:v>
      </x:c>
      <x:c r="E1" s="151" t="str">
        <x:v>Token And Metering Architecture</x:v>
      </x:c>
      <x:c r="F1" s="151" t="str">
        <x:v>Token And Metering Architecture</x:v>
      </x:c>
      <x:c r="G1" s="151" t="str">
        <x:v>Token And Metering Architecture</x:v>
      </x:c>
      <x:c r="H1" s="151" t="str">
        <x:v>Token And Metering Architecture</x:v>
      </x:c>
    </x:row>
    <x:row r="2" ht="15" hidden="0" customHeight="1">
      <x:c r="A2" s="152"/>
      <x:c r="B2" s="152"/>
      <x:c r="C2" s="152"/>
      <x:c r="D2" s="152"/>
      <x:c r="E2" s="152"/>
      <x:c r="F2" s="152"/>
      <x:c r="G2" s="152"/>
      <x:c r="H2" s="152"/>
    </x:row>
    <x:row r="3" ht="15" hidden="0" customHeight="1">
      <x:c r="A3" s="176" t="str">
        <x:v>Layer</x:v>
      </x:c>
      <x:c r="B3" s="177" t="str">
        <x:v>Token / Identifier</x:v>
      </x:c>
      <x:c r="C3" s="177" t="str">
        <x:v>Created By</x:v>
      </x:c>
      <x:c r="D3" s="177" t="str">
        <x:v>Required At</x:v>
      </x:c>
      <x:c r="E3" s="177" t="str">
        <x:v>Purpose</x:v>
      </x:c>
      <x:c r="F3" s="177" t="str">
        <x:v>Stored</x:v>
      </x:c>
      <x:c r="G3" s="177" t="str">
        <x:v>Expires</x:v>
      </x:c>
      <x:c r="H3" s="178" t="str">
        <x:v>Billing Role</x:v>
      </x:c>
    </x:row>
    <x:row r="4" ht="15" hidden="0" customHeight="1">
      <x:c r="A4" s="179" t="str">
        <x:v>Portal session</x:v>
      </x:c>
      <x:c r="B4" s="181" t="str">
        <x:v>sb_admin / client session cookie</x:v>
      </x:c>
      <x:c r="C4" s="181" t="str">
        <x:v>Salt Basin auth</x:v>
      </x:c>
      <x:c r="D4" s="181" t="str">
        <x:v>Portal use</x:v>
      </x:c>
      <x:c r="E4" s="181" t="str">
        <x:v>Web login and checkout state</x:v>
      </x:c>
      <x:c r="F4" s="181" t="str">
        <x:v>sessions</x:v>
      </x:c>
      <x:c r="G4" s="181" t="str">
        <x:v>Short lived</x:v>
      </x:c>
      <x:c r="H4" s="182" t="str">
        <x:v>Non-billing</x:v>
      </x:c>
    </x:row>
    <x:row r="5" ht="15" hidden="0" customHeight="1">
      <x:c r="A5" s="179" t="str">
        <x:v>Client API access</x:v>
      </x:c>
      <x:c r="B5" s="181" t="str">
        <x:v>OAuth client credentials token or scoped API key</x:v>
      </x:c>
      <x:c r="C5" s="181" t="str">
        <x:v>Salt Basin auth</x:v>
      </x:c>
      <x:c r="D5" s="181" t="str">
        <x:v>Every API request</x:v>
      </x:c>
      <x:c r="E5" s="181" t="str">
        <x:v>Authenticate calling app and scopes</x:v>
      </x:c>
      <x:c r="F5" s="181" t="str">
        <x:v>client_oauth_clients / client_api_keys</x:v>
      </x:c>
      <x:c r="G5" s="181" t="str">
        <x:v>Minutes to days</x:v>
      </x:c>
      <x:c r="H5" s="182" t="str">
        <x:v>Eligibility</x:v>
      </x:c>
    </x:row>
    <x:row r="6" ht="15" hidden="0" customHeight="1">
      <x:c r="A6" s="179" t="str">
        <x:v>Idempotency</x:v>
      </x:c>
      <x:c r="B6" s="181" t="str">
        <x:v>Idempotency-Key</x:v>
      </x:c>
      <x:c r="C6" s="181" t="str">
        <x:v>Client</x:v>
      </x:c>
      <x:c r="D6" s="181" t="str">
        <x:v>Every billable POST</x:v>
      </x:c>
      <x:c r="E6" s="181" t="str">
        <x:v>Prevent duplicate execution and billing</x:v>
      </x:c>
      <x:c r="F6" s="181" t="str">
        <x:v>api_usage_events</x:v>
      </x:c>
      <x:c r="G6" s="181" t="str">
        <x:v>Client defined</x:v>
      </x:c>
      <x:c r="H6" s="182" t="str">
        <x:v>Duplicate protection</x:v>
      </x:c>
    </x:row>
    <x:row r="7" ht="15" hidden="0" customHeight="1">
      <x:c r="A7" s="179" t="str">
        <x:v>Request fingerprint</x:v>
      </x:c>
      <x:c r="B7" s="181" t="str">
        <x:v>request_hash</x:v>
      </x:c>
      <x:c r="C7" s="181" t="str">
        <x:v>Salt Basin API</x:v>
      </x:c>
      <x:c r="D7" s="181" t="str">
        <x:v>At request acceptance</x:v>
      </x:c>
      <x:c r="E7" s="181" t="str">
        <x:v>Tamper/dispute support without storing raw payload by default</x:v>
      </x:c>
      <x:c r="F7" s="181" t="str">
        <x:v>api_usage_events</x:v>
      </x:c>
      <x:c r="G7" s="181" t="str">
        <x:v>Permanent per retention</x:v>
      </x:c>
      <x:c r="H7" s="182" t="str">
        <x:v>Audit</x:v>
      </x:c>
    </x:row>
    <x:row r="8" ht="15" hidden="0" customHeight="1">
      <x:c r="A8" s="179" t="str">
        <x:v>Usage event</x:v>
      </x:c>
      <x:c r="B8" s="181" t="str">
        <x:v>usage_event_id</x:v>
      </x:c>
      <x:c r="C8" s="181" t="str">
        <x:v>Salt Basin API</x:v>
      </x:c>
      <x:c r="D8" s="181" t="str">
        <x:v>Before queued execution</x:v>
      </x:c>
      <x:c r="E8" s="181" t="str">
        <x:v>Durable meter record</x:v>
      </x:c>
      <x:c r="F8" s="181" t="str">
        <x:v>api_usage_events</x:v>
      </x:c>
      <x:c r="G8" s="181" t="str">
        <x:v>Permanent per retention</x:v>
      </x:c>
      <x:c r="H8" s="182" t="str">
        <x:v>Primary billing ID</x:v>
      </x:c>
    </x:row>
    <x:row r="9" ht="15" hidden="0" customHeight="1">
      <x:c r="A9" s="179" t="str">
        <x:v>Usage token</x:v>
      </x:c>
      <x:c r="B9" s="181" t="str">
        <x:v>signed_usage_token</x:v>
      </x:c>
      <x:c r="C9" s="181" t="str">
        <x:v>Salt Basin API</x:v>
      </x:c>
      <x:c r="D9" s="181" t="str">
        <x:v>Internal queue/workers</x:v>
      </x:c>
      <x:c r="E9" s="181" t="str">
        <x:v>Propagate billing context through async steps</x:v>
      </x:c>
      <x:c r="F9" s="181" t="str">
        <x:v>api_usage_event_steps</x:v>
      </x:c>
      <x:c r="G9" s="181" t="str">
        <x:v>Until finalization</x:v>
      </x:c>
      <x:c r="H9" s="182" t="str">
        <x:v>Step attribution</x:v>
      </x:c>
    </x:row>
    <x:row r="10" ht="15" hidden="0" customHeight="1">
      <x:c r="A10" s="179" t="str">
        <x:v>Agent run</x:v>
      </x:c>
      <x:c r="B10" s="181" t="str">
        <x:v>run_id</x:v>
      </x:c>
      <x:c r="C10" s="181" t="str">
        <x:v>Salt Basin API</x:v>
      </x:c>
      <x:c r="D10" s="181" t="str">
        <x:v>Client polling/webhooks</x:v>
      </x:c>
      <x:c r="E10" s="181" t="str">
        <x:v>Execution state and result reference</x:v>
      </x:c>
      <x:c r="F10" s="181" t="str">
        <x:v>agent_runs</x:v>
      </x:c>
      <x:c r="G10" s="181" t="str">
        <x:v>Retention policy</x:v>
      </x:c>
      <x:c r="H10" s="182" t="str">
        <x:v>Client traceability</x:v>
      </x:c>
    </x:row>
    <x:row r="11" ht="15" hidden="0" customHeight="1">
      <x:c r="A11" s="179" t="str">
        <x:v>Context package</x:v>
      </x:c>
      <x:c r="B11" s="181" t="str">
        <x:v>context_package_id</x:v>
      </x:c>
      <x:c r="C11" s="181" t="str">
        <x:v>Salt Basin worker</x:v>
      </x:c>
      <x:c r="D11" s="181" t="str">
        <x:v>Model overlay or result retrieval</x:v>
      </x:c>
      <x:c r="E11" s="181" t="str">
        <x:v>Prompt/context/schema/evidence package</x:v>
      </x:c>
      <x:c r="F11" s="181" t="str">
        <x:v>context_packages</x:v>
      </x:c>
      <x:c r="G11" s="181" t="str">
        <x:v>Versioned retention</x:v>
      </x:c>
      <x:c r="H11" s="182" t="str">
        <x:v>Billable output</x:v>
      </x:c>
    </x:row>
    <x:row r="12" ht="15" hidden="0" customHeight="1">
      <x:c r="A12" s="179" t="str">
        <x:v>Connector credential</x:v>
      </x:c>
      <x:c r="B12" s="181" t="str">
        <x:v>encrypted credential reference</x:v>
      </x:c>
      <x:c r="C12" s="181" t="str">
        <x:v>Client and Salt Basin vault</x:v>
      </x:c>
      <x:c r="D12" s="181" t="str">
        <x:v>Connector execution</x:v>
      </x:c>
      <x:c r="E12" s="181" t="str">
        <x:v>Access external enterprise system</x:v>
      </x:c>
      <x:c r="F12" s="181" t="str">
        <x:v>connector_credentials</x:v>
      </x:c>
      <x:c r="G12" s="181" t="str">
        <x:v>Until revoked</x:v>
      </x:c>
      <x:c r="H12" s="182" t="str">
        <x:v>Not billing token</x:v>
      </x:c>
    </x:row>
    <x:row r="13" ht="15" hidden="0" customHeight="1">
      <x:c r="A13" s="184" t="str">
        <x:v>Webhook delivery</x:v>
      </x:c>
      <x:c r="B13" s="186" t="str">
        <x:v>webhook_event_id + signature</x:v>
      </x:c>
      <x:c r="C13" s="186" t="str">
        <x:v>Salt Basin</x:v>
      </x:c>
      <x:c r="D13" s="186" t="str">
        <x:v>Completion callback</x:v>
      </x:c>
      <x:c r="E13" s="186" t="str">
        <x:v>Secure async result delivery</x:v>
      </x:c>
      <x:c r="F13" s="186" t="str">
        <x:v>webhook_deliveries</x:v>
      </x:c>
      <x:c r="G13" s="186" t="str">
        <x:v>Retention policy</x:v>
      </x:c>
      <x:c r="H13" s="187" t="str">
        <x:v>Audit only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6.25" hidden="0" customWidth="1"/>
    <x:col min="3" max="3" width="26.25" hidden="0" customWidth="1"/>
    <x:col min="4" max="4" width="26.25" hidden="0" customWidth="1"/>
    <x:col min="5" max="5" width="26.25" hidden="0" customWidth="1"/>
    <x:col min="6" max="6" width="50.130001068115234" hidden="0" customWidth="1"/>
    <x:col min="7" max="7" width="62.130001068115234" hidden="0" customWidth="1"/>
  </x:cols>
  <x:sheetData>
    <x:row r="1" ht="18" hidden="0" customHeight="1">
      <x:c r="A1" s="151" t="str">
        <x:v>Advisory Services Pricing</x:v>
      </x:c>
      <x:c r="B1" s="151" t="str">
        <x:v>Advisory Services Pricing</x:v>
      </x:c>
      <x:c r="C1" s="151" t="str">
        <x:v>Advisory Services Pricing</x:v>
      </x:c>
      <x:c r="D1" s="151" t="str">
        <x:v>Advisory Services Pricing</x:v>
      </x:c>
      <x:c r="E1" s="151" t="str">
        <x:v>Advisory Services Pricing</x:v>
      </x:c>
      <x:c r="F1" s="151" t="str">
        <x:v>Advisory Services Pricing</x:v>
      </x:c>
      <x:c r="G1" s="151" t="str">
        <x:v>Advisory Services Pricing</x:v>
      </x:c>
    </x:row>
    <x:row r="2" ht="15" hidden="0" customHeight="1">
      <x:c r="A2" s="152"/>
      <x:c r="B2" s="152"/>
      <x:c r="C2" s="152"/>
      <x:c r="D2" s="152"/>
      <x:c r="E2" s="152"/>
      <x:c r="F2" s="152"/>
      <x:c r="G2" s="152"/>
    </x:row>
    <x:row r="3" ht="15" hidden="0" customHeight="1">
      <x:c r="A3" s="176" t="str">
        <x:v>Package</x:v>
      </x:c>
      <x:c r="B3" s="177" t="str">
        <x:v>Estimated Fee</x:v>
      </x:c>
      <x:c r="C3" s="177" t="str">
        <x:v>Deposit Rate</x:v>
      </x:c>
      <x:c r="D3" s="177" t="str">
        <x:v>Deposit</x:v>
      </x:c>
      <x:c r="E3" s="177" t="str">
        <x:v>Timeline</x:v>
      </x:c>
      <x:c r="F3" s="177" t="str">
        <x:v>Best Fit</x:v>
      </x:c>
      <x:c r="G3" s="178" t="str">
        <x:v>Primary Deliverables</x:v>
      </x:c>
    </x:row>
    <x:row r="4" ht="15" hidden="0" customHeight="1">
      <x:c r="A4" s="179" t="str">
        <x:v>API Readiness Sprint</x:v>
      </x:c>
      <x:c r="B4" s="209" t="n">
        <x:v>40000</x:v>
      </x:c>
      <x:c r="C4" s="213" t="n">
        <x:f>'Assumptions'!B13</x:f>
        <x:v>0.25</x:v>
      </x:c>
      <x:c r="D4" s="215" t="n">
        <x:f>B4*C4</x:f>
        <x:v>10000</x:v>
      </x:c>
      <x:c r="E4" s="181" t="str">
        <x:v>3-4 weeks</x:v>
      </x:c>
      <x:c r="F4" s="181" t="str">
        <x:v>Self-service client needing scoped architecture</x:v>
      </x:c>
      <x:c r="G4" s="182" t="str">
        <x:v>Outcome brief; API setup plan; source-system dependency matrix; pricing estimate</x:v>
      </x:c>
    </x:row>
    <x:row r="5" ht="15" hidden="0" customHeight="1">
      <x:c r="A5" s="179" t="str">
        <x:v>Enterprise Agent Design</x:v>
      </x:c>
      <x:c r="B5" s="209" t="n">
        <x:v>125000</x:v>
      </x:c>
      <x:c r="C5" s="213" t="n">
        <x:f>'Assumptions'!B13</x:f>
        <x:v>0.25</x:v>
      </x:c>
      <x:c r="D5" s="215" t="n">
        <x:f>B5*C5</x:f>
        <x:v>31250</x:v>
      </x:c>
      <x:c r="E5" s="181" t="str">
        <x:v>6 weeks</x:v>
      </x:c>
      <x:c r="F5" s="181" t="str">
        <x:v>Production workflow across CRM/data warehouse/marketing tools</x:v>
      </x:c>
      <x:c r="G5" s="182" t="str">
        <x:v>Agent capability map; context schema; connector guide; pilot roadmap</x:v>
      </x:c>
    </x:row>
    <x:row r="6" ht="15" hidden="0" customHeight="1">
      <x:c r="A6" s="179" t="str">
        <x:v>Contribution Intelligence Operating Model</x:v>
      </x:c>
      <x:c r="B6" s="209" t="n">
        <x:v>250000</x:v>
      </x:c>
      <x:c r="C6" s="213" t="n">
        <x:f>'Assumptions'!B13</x:f>
        <x:v>0.25</x:v>
      </x:c>
      <x:c r="D6" s="215" t="n">
        <x:f>B6*C6</x:f>
        <x:v>62500</x:v>
      </x:c>
      <x:c r="E6" s="181" t="str">
        <x:v>8-10 weeks</x:v>
      </x:c>
      <x:c r="F6" s="181" t="str">
        <x:v>Cross-functional operating intelligence initiative</x:v>
      </x:c>
      <x:c r="G6" s="182" t="str">
        <x:v>Governance model; evidence framework; value case; implementation plan</x:v>
      </x:c>
    </x:row>
    <x:row r="7" ht="15" hidden="0" customHeight="1">
      <x:c r="A7" s="184" t="str">
        <x:v>PE Portfolio Intelligence Rollout</x:v>
      </x:c>
      <x:c r="B7" s="217" t="n">
        <x:v>500000</x:v>
      </x:c>
      <x:c r="C7" s="222" t="n">
        <x:f>'Assumptions'!B13</x:f>
        <x:v>0.25</x:v>
      </x:c>
      <x:c r="D7" s="224" t="n">
        <x:f>B7*C7</x:f>
        <x:v>125000</x:v>
      </x:c>
      <x:c r="E7" s="186" t="str">
        <x:v>10-14 weeks</x:v>
      </x:c>
      <x:c r="F7" s="186" t="str">
        <x:v>Sponsor or portfolio-wide deployment</x:v>
      </x:c>
      <x:c r="G7" s="187" t="str">
        <x:v>Portfolio playbook; common data contracts; rollout roadmap; executive scorecard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15" hidden="0" customWidth="1"/>
    <x:col min="3" max="3" width="15" hidden="0" customWidth="1"/>
    <x:col min="4" max="4" width="28" hidden="0" customWidth="1"/>
  </x:cols>
  <x:sheetData>
    <x:row r="1" ht="18" hidden="0" customHeight="1">
      <x:c r="A1" s="151" t="str">
        <x:v>Model Checks</x:v>
      </x:c>
      <x:c r="B1" s="151" t="str">
        <x:v>Model Checks</x:v>
      </x:c>
      <x:c r="C1" s="151" t="str">
        <x:v>Model Checks</x:v>
      </x:c>
      <x:c r="D1" s="151" t="str">
        <x:v>Model Checks</x:v>
      </x:c>
    </x:row>
    <x:row r="2" ht="15" hidden="0" customHeight="1">
      <x:c r="A2" s="152"/>
      <x:c r="B2" s="152"/>
      <x:c r="C2" s="152"/>
      <x:c r="D2" s="152"/>
    </x:row>
    <x:row r="3" ht="15" hidden="0" customHeight="1">
      <x:c r="A3" s="154" t="str">
        <x:v>Check</x:v>
      </x:c>
      <x:c r="B3" s="155" t="str">
        <x:v>Result</x:v>
      </x:c>
      <x:c r="C3" s="155" t="str">
        <x:v>Delta / Detail</x:v>
      </x:c>
      <x:c r="D3" s="156" t="str">
        <x:v>Where To Fix</x:v>
      </x:c>
    </x:row>
    <x:row r="4" ht="15" hidden="0" customHeight="1">
      <x:c r="A4" s="157" t="str">
        <x:v>No negative recommended prices</x:v>
      </x:c>
      <x:c r="B4" s="158" t="str">
        <x:f>IF(MIN('Scenarios'!P6:P10)&gt;0,"PASS","FAIL")</x:f>
        <x:v>PASS</x:v>
      </x:c>
      <x:c r="C4" s="235" t="n">
        <x:f>MIN('Scenarios'!P6:P10)</x:f>
        <x:v>0.64</x:v>
      </x:c>
      <x:c r="D4" s="159" t="str">
        <x:v>Scenarios!P6:P10</x:v>
      </x:c>
    </x:row>
    <x:row r="5" ht="15" hidden="0" customHeight="1">
      <x:c r="A5" s="160" t="str">
        <x:v>Gross margins meet target floor</x:v>
      </x:c>
      <x:c r="B5" s="161" t="str">
        <x:f>IF(MIN('Scenarios'!T6:T10)&gt;='Assumptions'!B4-0.0001,"PASS","FAIL")</x:f>
        <x:v>PASS</x:v>
      </x:c>
      <x:c r="C5" s="247" t="n">
        <x:f>MIN('Scenarios'!T6:T10)-'Assumptions'!B4</x:f>
        <x:v>0</x:v>
      </x:c>
      <x:c r="D5" s="162" t="str">
        <x:v>Assumptions!B4 / Scenarios!T6:T10</x:v>
      </x:c>
    </x:row>
    <x:row r="6" ht="15" hidden="0" customHeight="1">
      <x:c r="A6" s="160" t="str">
        <x:v>Deposits equal 25% assumption</x:v>
      </x:c>
      <x:c r="B6" s="161" t="str">
        <x:f>IF(ABS('Advisory Services'!D5-'Advisory Services'!B5*'Assumptions'!B13)&lt;0.01,"PASS","FAIL")</x:f>
        <x:v>PASS</x:v>
      </x:c>
      <x:c r="C6" s="237" t="n">
        <x:f>'Advisory Services'!D5-'Advisory Services'!B5*'Assumptions'!B13</x:f>
        <x:v>0</x:v>
      </x:c>
      <x:c r="D6" s="162" t="str">
        <x:v>Assumptions!B13 / Advisory Services</x:v>
      </x:c>
    </x:row>
    <x:row r="7" ht="15" hidden="0" customHeight="1">
      <x:c r="A7" s="160" t="str">
        <x:v>Annual calls are positive</x:v>
      </x:c>
      <x:c r="B7" s="161" t="str">
        <x:f>IF(MIN('Scenarios'!E6:E10)&gt;0,"PASS","FAIL")</x:f>
        <x:v>PASS</x:v>
      </x:c>
      <x:c r="C7" s="248" t="n">
        <x:f>MIN('Scenarios'!E6:E10)</x:f>
        <x:v>60000</x:v>
      </x:c>
      <x:c r="D7" s="162" t="str">
        <x:v>Scenarios!E6:E10</x:v>
      </x:c>
    </x:row>
    <x:row r="8" ht="15" hidden="0" customHeight="1">
      <x:c r="A8" s="163" t="str">
        <x:v>Model status</x:v>
      </x:c>
      <x:c r="B8" s="164" t="str">
        <x:f>IF(COUNTIF(B4:B7,"FAIL")=0,"PASS","FAIL")</x:f>
        <x:v>PASS</x:v>
      </x:c>
      <x:c r="C8" s="249" t="n">
        <x:f>COUNTIF(B4:B7,"FAIL")</x:f>
        <x:v>0</x:v>
      </x:c>
      <x:c r="D8" s="165" t="str">
        <x:v>Fix failed checks above</x:v>
      </x:c>
    </x:row>
  </x:sheetData>
  <x:mergeCells>
    <x:mergeCell ref="A1:D1"/>
  </x:mergeCells>
  <x:pageMargins left="0.7" right="0.7" top="0.75" bottom="0.75" header="0.3" footer="0.3"/>
</x:worksheet>
</file>