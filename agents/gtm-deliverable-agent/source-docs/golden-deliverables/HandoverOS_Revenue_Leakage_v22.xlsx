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Verified Source Detail" sheetId="2" state="visible" r:id="rId2"/>
    <sheet xmlns:r="http://schemas.openxmlformats.org/officeDocument/2006/relationships" name="MGI Industry Breakdown" sheetId="3" state="visible" r:id="rId3"/>
    <sheet xmlns:r="http://schemas.openxmlformats.org/officeDocument/2006/relationships" name="Portfolio Calculator" sheetId="4" state="visible" r:id="rId4"/>
    <sheet xmlns:r="http://schemas.openxmlformats.org/officeDocument/2006/relationships" name="Decision Risk Framework" sheetId="5" state="visible" r:id="rId5"/>
    <sheet xmlns:r="http://schemas.openxmlformats.org/officeDocument/2006/relationships" name="Risk Dollar Calculator" sheetId="6" state="visible" r:id="rId6"/>
    <sheet xmlns:r="http://schemas.openxmlformats.org/officeDocument/2006/relationships" name="Assumptions &amp; Methodology" sheetId="7" state="visible" r:id="rId7"/>
  </sheets>
  <definedNames/>
  <calcPr calcId="124519" fullCalcOnLoad="1"/>
</workbook>
</file>

<file path=xl/styles.xml><?xml version="1.0" encoding="utf-8"?>
<styleSheet xmlns="http://schemas.openxmlformats.org/spreadsheetml/2006/main">
  <numFmts count="3">
    <numFmt numFmtId="164" formatCode="$#,##0;($#,##0);&quot;-&quot;"/>
    <numFmt numFmtId="165" formatCode="$#,##0"/>
    <numFmt numFmtId="166" formatCode="0.0%"/>
  </numFmts>
  <fonts count="48">
    <font>
      <name val="Calibri"/>
      <family val="2"/>
      <color theme="1"/>
      <sz val="11"/>
      <scheme val="minor"/>
    </font>
    <font>
      <name val="Arial"/>
      <b val="1"/>
      <color rgb="00FFFFFF"/>
      <sz val="15"/>
    </font>
    <font>
      <name val="Arial"/>
      <i val="1"/>
      <color rgb="0094A3B8"/>
      <sz val="10"/>
    </font>
    <font>
      <name val="Arial"/>
      <color rgb="00FFFFFF"/>
      <sz val="8"/>
    </font>
    <font>
      <name val="Arial"/>
      <b val="1"/>
      <color rgb="00FFFFFF"/>
      <sz val="10"/>
    </font>
    <font>
      <name val="Arial"/>
      <b val="1"/>
      <color rgb="00FFFFFF"/>
      <sz val="9"/>
    </font>
    <font>
      <name val="Arial"/>
      <b val="1"/>
      <color rgb="000B2545"/>
      <sz val="10"/>
    </font>
    <font>
      <name val="Arial"/>
      <color rgb="00166534"/>
      <sz val="10"/>
    </font>
    <font>
      <name val="Arial"/>
      <color rgb="00B45309"/>
      <sz val="10"/>
    </font>
    <font>
      <name val="Arial"/>
      <color rgb="00991B1B"/>
      <sz val="10"/>
    </font>
    <font>
      <name val="Arial"/>
      <b val="1"/>
      <color rgb="00991B1B"/>
      <sz val="10"/>
    </font>
    <font>
      <name val="Arial"/>
      <b val="1"/>
      <color rgb="007C3AED"/>
      <sz val="10"/>
    </font>
    <font>
      <name val="Arial"/>
      <color rgb="00334155"/>
      <sz val="9"/>
    </font>
    <font>
      <name val="Arial"/>
      <i val="1"/>
      <color rgb="0094A3B8"/>
      <sz val="8"/>
    </font>
    <font>
      <name val="Arial"/>
      <b val="1"/>
      <color rgb="00FFFFFF"/>
      <sz val="14"/>
    </font>
    <font>
      <name val="Arial"/>
      <b val="1"/>
      <color rgb="000B2545"/>
      <sz val="9"/>
    </font>
    <font>
      <name val="Arial"/>
      <b val="1"/>
      <color rgb="00334155"/>
      <sz val="9"/>
    </font>
    <font>
      <name val="Arial"/>
      <i val="1"/>
      <color rgb="000D6E6E"/>
      <sz val="9"/>
    </font>
    <font>
      <name val="Arial"/>
      <color rgb="000369A1"/>
      <sz val="8"/>
    </font>
    <font>
      <name val="Arial"/>
      <b val="1"/>
      <color rgb="00991B1B"/>
      <sz val="9"/>
    </font>
    <font>
      <name val="Arial"/>
      <i val="1"/>
      <color rgb="00334155"/>
      <sz val="9"/>
    </font>
    <font>
      <name val="Arial"/>
      <color rgb="00991B1B"/>
      <sz val="9"/>
    </font>
    <font>
      <name val="Arial"/>
      <i val="1"/>
      <color rgb="00991B1B"/>
      <sz val="9"/>
    </font>
    <font>
      <name val="Arial"/>
      <color rgb="00991B1B"/>
      <sz val="8"/>
    </font>
    <font>
      <name val="Arial"/>
      <b val="1"/>
      <color rgb="00FFFFFF"/>
      <sz val="13"/>
    </font>
    <font>
      <name val="Arial"/>
      <i val="1"/>
      <color rgb="00B45309"/>
      <sz val="9"/>
    </font>
    <font>
      <name val="Arial"/>
      <b val="1"/>
      <color rgb="00B45309"/>
      <sz val="9"/>
    </font>
    <font>
      <name val="Arial"/>
      <color rgb="00166534"/>
      <sz val="9"/>
    </font>
    <font>
      <name val="Arial"/>
      <color rgb="000D6E6E"/>
      <sz val="9"/>
    </font>
    <font>
      <name val="Arial"/>
      <b val="1"/>
      <color rgb="000000FF"/>
      <sz val="10"/>
    </font>
    <font>
      <name val="Arial"/>
      <b val="1"/>
      <color rgb="00166534"/>
      <sz val="10"/>
    </font>
    <font>
      <name val="Arial"/>
      <b val="1"/>
      <color rgb="000D6E6E"/>
      <sz val="10"/>
    </font>
    <font>
      <name val="Arial"/>
      <b val="1"/>
      <color rgb="00FFFFFF"/>
      <sz val="11"/>
    </font>
    <font>
      <name val="Arial"/>
      <b val="1"/>
      <color rgb="00334155"/>
      <sz val="10"/>
    </font>
    <font>
      <name val="Arial"/>
      <b val="1"/>
      <color rgb="00991B1B"/>
      <sz val="12"/>
    </font>
    <font>
      <name val="Arial"/>
      <b val="1"/>
      <color rgb="00166534"/>
      <sz val="12"/>
    </font>
    <font>
      <name val="Arial"/>
      <b val="1"/>
      <color rgb="00B45309"/>
      <sz val="12"/>
    </font>
    <font>
      <name val="Arial"/>
      <b val="1"/>
      <color rgb="000D6E6E"/>
      <sz val="12"/>
    </font>
    <font>
      <name val="Arial"/>
      <b val="1"/>
      <color rgb="000B2545"/>
      <sz val="12"/>
    </font>
    <font>
      <name val="Arial"/>
      <i val="1"/>
      <color rgb="0094A3B8"/>
      <sz val="9"/>
    </font>
    <font>
      <name val="Arial"/>
      <color rgb="00C2410C"/>
      <sz val="9"/>
    </font>
    <font>
      <name val="Arial"/>
      <color rgb="007C3AED"/>
      <sz val="9"/>
    </font>
    <font>
      <name val="Arial"/>
      <b val="1"/>
      <color rgb="00166534"/>
      <sz val="9"/>
    </font>
    <font>
      <name val="Arial"/>
      <i val="1"/>
      <color rgb="00334155"/>
      <sz val="8"/>
    </font>
    <font>
      <name val="Arial"/>
      <b val="1"/>
      <color rgb="000000FF"/>
      <sz val="11"/>
    </font>
    <font>
      <name val="Arial"/>
      <b val="1"/>
      <color rgb="00B45309"/>
      <sz val="10"/>
    </font>
    <font>
      <name val="Arial"/>
      <b val="1"/>
      <color rgb="00FFFFFF"/>
      <sz val="12"/>
    </font>
    <font>
      <name val="Arial"/>
      <color rgb="00334155"/>
      <sz val="10"/>
    </font>
  </fonts>
  <fills count="22">
    <fill>
      <patternFill/>
    </fill>
    <fill>
      <patternFill patternType="gray125"/>
    </fill>
    <fill>
      <patternFill patternType="solid">
        <fgColor rgb="000B2545"/>
      </patternFill>
    </fill>
    <fill>
      <patternFill patternType="solid">
        <fgColor rgb="000D6E6E"/>
      </patternFill>
    </fill>
    <fill>
      <patternFill patternType="solid">
        <fgColor rgb="00B45309"/>
      </patternFill>
    </fill>
    <fill>
      <patternFill patternType="solid">
        <fgColor rgb="00991B1B"/>
      </patternFill>
    </fill>
    <fill>
      <patternFill patternType="solid">
        <fgColor rgb="00166534"/>
      </patternFill>
    </fill>
    <fill>
      <patternFill patternType="solid">
        <fgColor rgb="00334155"/>
      </patternFill>
    </fill>
    <fill>
      <patternFill patternType="solid">
        <fgColor rgb="001E293B"/>
      </patternFill>
    </fill>
    <fill>
      <patternFill patternType="solid">
        <fgColor rgb="00F1F5F9"/>
      </patternFill>
    </fill>
    <fill>
      <patternFill patternType="solid">
        <fgColor rgb="00FEE2E2"/>
      </patternFill>
    </fill>
    <fill>
      <patternFill patternType="solid">
        <fgColor rgb="00EDE9FE"/>
      </patternFill>
    </fill>
    <fill>
      <patternFill patternType="solid">
        <fgColor rgb="00FFFFFF"/>
      </patternFill>
    </fill>
    <fill>
      <patternFill patternType="solid">
        <fgColor rgb="000F172A"/>
      </patternFill>
    </fill>
    <fill>
      <patternFill patternType="solid">
        <fgColor rgb="00FEF3C7"/>
      </patternFill>
    </fill>
    <fill>
      <patternFill patternType="solid">
        <fgColor rgb="00DCFCE7"/>
      </patternFill>
    </fill>
    <fill>
      <patternFill patternType="solid">
        <fgColor rgb="00EFF6FF"/>
      </patternFill>
    </fill>
    <fill>
      <patternFill patternType="solid">
        <fgColor rgb="00CCFBF1"/>
      </patternFill>
    </fill>
    <fill>
      <patternFill patternType="solid">
        <fgColor rgb="00FFEDD5"/>
      </patternFill>
    </fill>
    <fill>
      <patternFill patternType="solid">
        <fgColor rgb="00FFF1F2"/>
      </patternFill>
    </fill>
    <fill>
      <patternFill patternType="solid">
        <fgColor rgb="007C3AED"/>
      </patternFill>
    </fill>
    <fill>
      <patternFill patternType="solid">
        <fgColor rgb="00C2410C"/>
      </patternFill>
    </fill>
  </fills>
  <borders count="13">
    <border>
      <left/>
      <right/>
      <top/>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
      <left style="thin">
        <color rgb="00E2E8F0"/>
      </left>
      <right style="thin">
        <color rgb="00E2E8F0"/>
      </right>
      <top style="thin">
        <color rgb="00E2E8F0"/>
      </top>
      <bottom style="thin">
        <color rgb="00E2E8F0"/>
      </bottom>
    </border>
    <border>
      <left style="thin">
        <color rgb="0093C5FD"/>
      </left>
      <right style="thin">
        <color rgb="0093C5FD"/>
      </right>
      <top style="thin">
        <color rgb="0093C5FD"/>
      </top>
      <bottom style="thin">
        <color rgb="0093C5FD"/>
      </bottom>
    </border>
    <border>
      <left style="thin">
        <color rgb="000D6E6E"/>
      </left>
      <right style="thin">
        <color rgb="000D6E6E"/>
      </right>
      <top style="thin">
        <color rgb="000D6E6E"/>
      </top>
      <bottom style="thin">
        <color rgb="000D6E6E"/>
      </bottom>
    </border>
    <border>
      <left/>
      <right/>
      <top style="thin">
        <color rgb="00E2E8F0"/>
      </top>
      <bottom/>
      <diagonal/>
    </border>
    <border>
      <left/>
      <right style="thin">
        <color rgb="00E2E8F0"/>
      </right>
      <top style="thin">
        <color rgb="00E2E8F0"/>
      </top>
      <bottom/>
      <diagonal/>
    </border>
    <border>
      <left/>
      <right style="thin">
        <color rgb="00E2E8F0"/>
      </right>
      <top style="thin">
        <color rgb="00E2E8F0"/>
      </top>
      <bottom style="thin">
        <color rgb="00E2E8F0"/>
      </bottom>
      <diagonal/>
    </border>
    <border>
      <left/>
      <right/>
      <top style="thin">
        <color rgb="00E2E8F0"/>
      </top>
      <bottom style="thin">
        <color rgb="00E2E8F0"/>
      </bottom>
      <diagonal/>
    </border>
  </borders>
  <cellStyleXfs count="1">
    <xf numFmtId="0" fontId="0" fillId="0" borderId="0"/>
  </cellStyleXfs>
  <cellXfs count="119">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center" vertical="center"/>
    </xf>
    <xf numFmtId="0" fontId="0" fillId="0" borderId="4" pivotButton="0" quotePrefix="0" xfId="0"/>
    <xf numFmtId="0" fontId="0" fillId="0" borderId="5" pivotButton="0" quotePrefix="0" xfId="0"/>
    <xf numFmtId="0" fontId="5" fillId="8" borderId="1" applyAlignment="1" pivotButton="0" quotePrefix="0" xfId="0">
      <alignment horizontal="center" vertical="center" wrapText="1"/>
    </xf>
    <xf numFmtId="0" fontId="6" fillId="9" borderId="6" applyAlignment="1" pivotButton="0" quotePrefix="0" xfId="0">
      <alignment horizontal="left" vertical="center"/>
    </xf>
    <xf numFmtId="164" fontId="7" fillId="9" borderId="6" applyAlignment="1" pivotButton="0" quotePrefix="0" xfId="0">
      <alignment horizontal="center" vertical="center"/>
    </xf>
    <xf numFmtId="164" fontId="8" fillId="9" borderId="6" applyAlignment="1" pivotButton="0" quotePrefix="0" xfId="0">
      <alignment horizontal="center" vertical="center"/>
    </xf>
    <xf numFmtId="164" fontId="9" fillId="9" borderId="6" applyAlignment="1" pivotButton="0" quotePrefix="0" xfId="0">
      <alignment horizontal="center" vertical="center"/>
    </xf>
    <xf numFmtId="164" fontId="10" fillId="9" borderId="6" applyAlignment="1" pivotButton="0" quotePrefix="0" xfId="0">
      <alignment horizontal="center" vertical="center"/>
    </xf>
    <xf numFmtId="164" fontId="10" fillId="10" borderId="6" applyAlignment="1" pivotButton="0" quotePrefix="0" xfId="0">
      <alignment horizontal="center" vertical="center"/>
    </xf>
    <xf numFmtId="164" fontId="11" fillId="11" borderId="6" applyAlignment="1" pivotButton="0" quotePrefix="0" xfId="0">
      <alignment horizontal="center" vertical="center"/>
    </xf>
    <xf numFmtId="0" fontId="12" fillId="9" borderId="6" applyAlignment="1" pivotButton="0" quotePrefix="0" xfId="0">
      <alignment horizontal="left" vertical="center" wrapText="1"/>
    </xf>
    <xf numFmtId="0" fontId="6" fillId="12" borderId="6" applyAlignment="1" pivotButton="0" quotePrefix="0" xfId="0">
      <alignment horizontal="left" vertical="center"/>
    </xf>
    <xf numFmtId="164" fontId="7" fillId="12" borderId="6" applyAlignment="1" pivotButton="0" quotePrefix="0" xfId="0">
      <alignment horizontal="center" vertical="center"/>
    </xf>
    <xf numFmtId="164" fontId="8" fillId="12" borderId="6" applyAlignment="1" pivotButton="0" quotePrefix="0" xfId="0">
      <alignment horizontal="center" vertical="center"/>
    </xf>
    <xf numFmtId="164" fontId="9" fillId="12" borderId="6" applyAlignment="1" pivotButton="0" quotePrefix="0" xfId="0">
      <alignment horizontal="center" vertical="center"/>
    </xf>
    <xf numFmtId="164" fontId="10" fillId="12" borderId="6" applyAlignment="1" pivotButton="0" quotePrefix="0" xfId="0">
      <alignment horizontal="center" vertical="center"/>
    </xf>
    <xf numFmtId="0" fontId="12" fillId="12" borderId="6" applyAlignment="1" pivotButton="0" quotePrefix="0" xfId="0">
      <alignment horizontal="left" vertical="center" wrapText="1"/>
    </xf>
    <xf numFmtId="0" fontId="13" fillId="13" borderId="0" applyAlignment="1" pivotButton="0" quotePrefix="0" xfId="0">
      <alignment horizontal="left" vertical="center" wrapText="1"/>
    </xf>
    <xf numFmtId="0" fontId="14" fillId="2" borderId="1" applyAlignment="1" pivotButton="0" quotePrefix="0" xfId="0">
      <alignment horizontal="center" vertical="center"/>
    </xf>
    <xf numFmtId="0" fontId="4" fillId="8" borderId="1" applyAlignment="1" pivotButton="0" quotePrefix="0" xfId="0">
      <alignment horizontal="center" vertical="center"/>
    </xf>
    <xf numFmtId="0" fontId="15" fillId="12" borderId="6" applyAlignment="1" pivotButton="0" quotePrefix="0" xfId="0">
      <alignment horizontal="left" vertical="center" wrapText="1"/>
    </xf>
    <xf numFmtId="0" fontId="16" fillId="12" borderId="6" applyAlignment="1" pivotButton="0" quotePrefix="0" xfId="0">
      <alignment horizontal="left" vertical="center" wrapText="1"/>
    </xf>
    <xf numFmtId="0" fontId="17" fillId="12" borderId="6" applyAlignment="1" pivotButton="0" quotePrefix="0" xfId="0">
      <alignment horizontal="left" vertical="center" wrapText="1"/>
    </xf>
    <xf numFmtId="0" fontId="18" fillId="12" borderId="6" applyAlignment="1" pivotButton="0" quotePrefix="0" xfId="0">
      <alignment horizontal="left" vertical="center" wrapText="1"/>
    </xf>
    <xf numFmtId="0" fontId="15" fillId="9" borderId="6" applyAlignment="1" pivotButton="0" quotePrefix="0" xfId="0">
      <alignment horizontal="left" vertical="center" wrapText="1"/>
    </xf>
    <xf numFmtId="0" fontId="16" fillId="9" borderId="6" applyAlignment="1" pivotButton="0" quotePrefix="0" xfId="0">
      <alignment horizontal="left" vertical="center" wrapText="1"/>
    </xf>
    <xf numFmtId="0" fontId="17" fillId="9" borderId="6" applyAlignment="1" pivotButton="0" quotePrefix="0" xfId="0">
      <alignment horizontal="left" vertical="center" wrapText="1"/>
    </xf>
    <xf numFmtId="0" fontId="18" fillId="9" borderId="6" applyAlignment="1" pivotButton="0" quotePrefix="0" xfId="0">
      <alignment horizontal="left" vertical="center" wrapText="1"/>
    </xf>
    <xf numFmtId="0" fontId="19" fillId="10" borderId="6" applyAlignment="1" pivotButton="0" quotePrefix="0" xfId="0">
      <alignment horizontal="left" vertical="center" wrapText="1"/>
    </xf>
    <xf numFmtId="0" fontId="20" fillId="10" borderId="6" applyAlignment="1" pivotButton="0" quotePrefix="0" xfId="0">
      <alignment horizontal="left" vertical="center" wrapText="1"/>
    </xf>
    <xf numFmtId="0" fontId="21" fillId="10" borderId="6" applyAlignment="1" pivotButton="0" quotePrefix="0" xfId="0">
      <alignment horizontal="left" vertical="center" wrapText="1"/>
    </xf>
    <xf numFmtId="0" fontId="22" fillId="10" borderId="6" applyAlignment="1" pivotButton="0" quotePrefix="0" xfId="0">
      <alignment horizontal="left" vertical="center" wrapText="1"/>
    </xf>
    <xf numFmtId="0" fontId="23" fillId="10" borderId="6" applyAlignment="1" pivotButton="0" quotePrefix="0" xfId="0">
      <alignment horizontal="left" vertical="center" wrapText="1"/>
    </xf>
    <xf numFmtId="0" fontId="24" fillId="2" borderId="1" applyAlignment="1" pivotButton="0" quotePrefix="0" xfId="0">
      <alignment horizontal="center" vertical="center"/>
    </xf>
    <xf numFmtId="0" fontId="5" fillId="8" borderId="1" applyAlignment="1" pivotButton="0" quotePrefix="0" xfId="0">
      <alignment horizontal="center" vertical="center"/>
    </xf>
    <xf numFmtId="0" fontId="6" fillId="12" borderId="6" applyAlignment="1" pivotButton="0" quotePrefix="0" xfId="0">
      <alignment horizontal="left" vertical="center" wrapText="1"/>
    </xf>
    <xf numFmtId="0" fontId="25" fillId="12" borderId="6" applyAlignment="1" pivotButton="0" quotePrefix="0" xfId="0">
      <alignment horizontal="left" vertical="center" wrapText="1"/>
    </xf>
    <xf numFmtId="0" fontId="26" fillId="14" borderId="6" applyAlignment="1" pivotButton="0" quotePrefix="0" xfId="0">
      <alignment horizontal="center" vertical="center" wrapText="1"/>
    </xf>
    <xf numFmtId="0" fontId="27" fillId="15" borderId="6" applyAlignment="1" pivotButton="0" quotePrefix="0" xfId="0">
      <alignment horizontal="left" vertical="center" wrapText="1"/>
    </xf>
    <xf numFmtId="0" fontId="28" fillId="12" borderId="6" applyAlignment="1" pivotButton="0" quotePrefix="0" xfId="0">
      <alignment horizontal="center" vertical="center" wrapText="1"/>
    </xf>
    <xf numFmtId="0" fontId="6" fillId="9" borderId="6" applyAlignment="1" pivotButton="0" quotePrefix="0" xfId="0">
      <alignment horizontal="left" vertical="center" wrapText="1"/>
    </xf>
    <xf numFmtId="0" fontId="25" fillId="9" borderId="6" applyAlignment="1" pivotButton="0" quotePrefix="0" xfId="0">
      <alignment horizontal="left" vertical="center" wrapText="1"/>
    </xf>
    <xf numFmtId="0" fontId="28" fillId="9" borderId="6" applyAlignment="1" pivotButton="0" quotePrefix="0" xfId="0">
      <alignment horizontal="center" vertical="center" wrapText="1"/>
    </xf>
    <xf numFmtId="0" fontId="26" fillId="14" borderId="6" applyAlignment="1" pivotButton="0" quotePrefix="0" xfId="0">
      <alignment horizontal="left" vertical="center" wrapText="1"/>
    </xf>
    <xf numFmtId="0" fontId="5" fillId="3" borderId="0" applyAlignment="1" pivotButton="0" quotePrefix="0" xfId="0">
      <alignment horizontal="left" vertical="center" wrapText="1"/>
    </xf>
    <xf numFmtId="0" fontId="2" fillId="8" borderId="0" applyAlignment="1" pivotButton="0" quotePrefix="0" xfId="0">
      <alignment horizontal="center" vertical="center" wrapText="1"/>
    </xf>
    <xf numFmtId="165" fontId="29" fillId="16" borderId="7" applyAlignment="1" pivotButton="0" quotePrefix="0" xfId="0">
      <alignment horizontal="center" vertical="center"/>
    </xf>
    <xf numFmtId="165" fontId="7" fillId="12" borderId="6" applyAlignment="1" pivotButton="0" quotePrefix="0" xfId="0">
      <alignment horizontal="center" vertical="center"/>
    </xf>
    <xf numFmtId="165" fontId="8" fillId="12" borderId="6" applyAlignment="1" pivotButton="0" quotePrefix="0" xfId="0">
      <alignment horizontal="center" vertical="center"/>
    </xf>
    <xf numFmtId="165" fontId="10" fillId="12" borderId="6" applyAlignment="1" pivotButton="0" quotePrefix="0" xfId="0">
      <alignment horizontal="center" vertical="center"/>
    </xf>
    <xf numFmtId="165" fontId="10" fillId="10" borderId="6" applyAlignment="1" pivotButton="0" quotePrefix="0" xfId="0">
      <alignment horizontal="center" vertical="center"/>
    </xf>
    <xf numFmtId="165" fontId="30" fillId="15" borderId="6" applyAlignment="1" pivotButton="0" quotePrefix="0" xfId="0">
      <alignment horizontal="center" vertical="center"/>
    </xf>
    <xf numFmtId="165" fontId="31" fillId="17" borderId="6" applyAlignment="1" pivotButton="0" quotePrefix="0" xfId="0">
      <alignment horizontal="center" vertical="center"/>
    </xf>
    <xf numFmtId="0" fontId="4" fillId="2" borderId="6" applyAlignment="1" pivotButton="0" quotePrefix="0" xfId="0">
      <alignment horizontal="left" vertical="center"/>
    </xf>
    <xf numFmtId="165" fontId="32" fillId="2" borderId="8" applyAlignment="1" pivotButton="0" quotePrefix="0" xfId="0">
      <alignment horizontal="center" vertical="center"/>
    </xf>
    <xf numFmtId="0" fontId="4" fillId="3" borderId="1" applyAlignment="1" pivotButton="0" quotePrefix="0" xfId="0">
      <alignment horizontal="center" vertical="center"/>
    </xf>
    <xf numFmtId="0" fontId="33" fillId="9" borderId="6" applyAlignment="1" pivotButton="0" quotePrefix="0" xfId="0">
      <alignment horizontal="left" vertical="center"/>
    </xf>
    <xf numFmtId="165" fontId="34" fillId="9" borderId="0" applyAlignment="1" pivotButton="0" quotePrefix="0" xfId="0">
      <alignment horizontal="center" vertical="center"/>
    </xf>
    <xf numFmtId="0" fontId="0" fillId="9" borderId="0" pivotButton="0" quotePrefix="0" xfId="0"/>
    <xf numFmtId="165" fontId="35" fillId="9" borderId="0" applyAlignment="1" pivotButton="0" quotePrefix="0" xfId="0">
      <alignment horizontal="center" vertical="center"/>
    </xf>
    <xf numFmtId="165" fontId="36" fillId="9" borderId="0" applyAlignment="1" pivotButton="0" quotePrefix="0" xfId="0">
      <alignment horizontal="center" vertical="center"/>
    </xf>
    <xf numFmtId="165" fontId="37" fillId="9" borderId="0" applyAlignment="1" pivotButton="0" quotePrefix="0" xfId="0">
      <alignment horizontal="center" vertical="center"/>
    </xf>
    <xf numFmtId="165" fontId="38" fillId="9" borderId="0" applyAlignment="1" pivotButton="0" quotePrefix="0" xfId="0">
      <alignment horizontal="center" vertical="center"/>
    </xf>
    <xf numFmtId="0" fontId="14" fillId="2" borderId="0" applyAlignment="1" pivotButton="0" quotePrefix="0" xfId="0">
      <alignment horizontal="center" vertical="center"/>
    </xf>
    <xf numFmtId="0" fontId="39" fillId="8" borderId="0" applyAlignment="1" pivotButton="0" quotePrefix="0" xfId="0">
      <alignment horizontal="center" vertical="center" wrapText="1"/>
    </xf>
    <xf numFmtId="0" fontId="4" fillId="5" borderId="0" applyAlignment="1" pivotButton="0" quotePrefix="0" xfId="0">
      <alignment horizontal="left" vertical="center"/>
    </xf>
    <xf numFmtId="0" fontId="19" fillId="10" borderId="6" applyAlignment="1" pivotButton="0" quotePrefix="0" xfId="0">
      <alignment horizontal="center" vertical="center"/>
    </xf>
    <xf numFmtId="0" fontId="40" fillId="18" borderId="6" applyAlignment="1" pivotButton="0" quotePrefix="0" xfId="0">
      <alignment horizontal="left" vertical="center" wrapText="1"/>
    </xf>
    <xf numFmtId="0" fontId="41" fillId="11" borderId="6" applyAlignment="1" pivotButton="0" quotePrefix="0" xfId="0">
      <alignment horizontal="left" vertical="center" wrapText="1"/>
    </xf>
    <xf numFmtId="0" fontId="42" fillId="15" borderId="6" applyAlignment="1" pivotButton="0" quotePrefix="0" xfId="0">
      <alignment horizontal="center" vertical="center"/>
    </xf>
    <xf numFmtId="0" fontId="43" fillId="9" borderId="6" applyAlignment="1" pivotButton="0" quotePrefix="0" xfId="0">
      <alignment horizontal="left" vertical="center" wrapText="1"/>
    </xf>
    <xf numFmtId="0" fontId="19" fillId="19" borderId="6" applyAlignment="1" pivotButton="0" quotePrefix="0" xfId="0">
      <alignment horizontal="center" vertical="center"/>
    </xf>
    <xf numFmtId="0" fontId="43" fillId="12" borderId="6" applyAlignment="1" pivotButton="0" quotePrefix="0" xfId="0">
      <alignment horizontal="left" vertical="center" wrapText="1"/>
    </xf>
    <xf numFmtId="0" fontId="26" fillId="14" borderId="6" applyAlignment="1" pivotButton="0" quotePrefix="0" xfId="0">
      <alignment horizontal="center" vertical="center"/>
    </xf>
    <xf numFmtId="0" fontId="4" fillId="20" borderId="0" applyAlignment="1" pivotButton="0" quotePrefix="0" xfId="0">
      <alignment horizontal="left" vertical="center"/>
    </xf>
    <xf numFmtId="0" fontId="4" fillId="21" borderId="0" applyAlignment="1" pivotButton="0" quotePrefix="0" xfId="0">
      <alignment horizontal="left" vertical="center"/>
    </xf>
    <xf numFmtId="0" fontId="4" fillId="3" borderId="0" applyAlignment="1" pivotButton="0" quotePrefix="0" xfId="0">
      <alignment horizontal="left" vertical="center" wrapText="1"/>
    </xf>
    <xf numFmtId="0" fontId="14" fillId="2" borderId="1" applyAlignment="1" pivotButton="0" quotePrefix="0" xfId="0">
      <alignment horizontal="center" vertical="center"/>
    </xf>
    <xf numFmtId="0" fontId="4" fillId="8" borderId="1" applyAlignment="1" pivotButton="0" quotePrefix="0" xfId="0">
      <alignment horizontal="center" vertical="center"/>
    </xf>
    <xf numFmtId="0" fontId="33" fillId="9" borderId="6" applyAlignment="1" pivotButton="0" quotePrefix="0" xfId="0">
      <alignment horizontal="left" vertical="center"/>
    </xf>
    <xf numFmtId="165" fontId="44" fillId="16" borderId="7" applyAlignment="1" pivotButton="0" quotePrefix="0" xfId="0">
      <alignment horizontal="center" vertical="center"/>
    </xf>
    <xf numFmtId="3" fontId="44" fillId="16" borderId="7" applyAlignment="1" pivotButton="0" quotePrefix="0" xfId="0">
      <alignment horizontal="center" vertical="center"/>
    </xf>
    <xf numFmtId="9" fontId="44" fillId="16" borderId="7" applyAlignment="1" pivotButton="0" quotePrefix="0" xfId="0">
      <alignment horizontal="center" vertical="center"/>
    </xf>
    <xf numFmtId="164" fontId="45" fillId="14" borderId="6" applyAlignment="1" pivotButton="0" quotePrefix="0" xfId="0">
      <alignment horizontal="center" vertical="center"/>
    </xf>
    <xf numFmtId="164" fontId="10" fillId="19" borderId="6" applyAlignment="1" pivotButton="0" quotePrefix="0" xfId="0">
      <alignment horizontal="center" vertical="center"/>
    </xf>
    <xf numFmtId="164" fontId="30" fillId="15" borderId="6" applyAlignment="1" pivotButton="0" quotePrefix="0" xfId="0">
      <alignment horizontal="center" vertical="center"/>
    </xf>
    <xf numFmtId="0" fontId="32" fillId="2" borderId="6" applyAlignment="1" pivotButton="0" quotePrefix="0" xfId="0">
      <alignment horizontal="left" vertical="center"/>
    </xf>
    <xf numFmtId="165" fontId="46" fillId="2" borderId="8" applyAlignment="1" pivotButton="0" quotePrefix="0" xfId="0">
      <alignment horizontal="center" vertical="center"/>
    </xf>
    <xf numFmtId="0" fontId="47" fillId="2" borderId="6" applyAlignment="1" pivotButton="0" quotePrefix="0" xfId="0">
      <alignment horizontal="left" vertical="center"/>
    </xf>
    <xf numFmtId="0" fontId="32" fillId="3" borderId="1" applyAlignment="1" pivotButton="0" quotePrefix="0" xfId="0">
      <alignment horizontal="center" vertical="center"/>
    </xf>
    <xf numFmtId="164" fontId="34" fillId="9" borderId="6" applyAlignment="1" pivotButton="0" quotePrefix="0" xfId="0">
      <alignment horizontal="center" vertical="center"/>
    </xf>
    <xf numFmtId="164" fontId="35" fillId="9" borderId="6" applyAlignment="1" pivotButton="0" quotePrefix="0" xfId="0">
      <alignment horizontal="center" vertical="center"/>
    </xf>
    <xf numFmtId="164" fontId="36" fillId="9" borderId="6" applyAlignment="1" pivotButton="0" quotePrefix="0" xfId="0">
      <alignment horizontal="center" vertical="center"/>
    </xf>
    <xf numFmtId="164" fontId="37" fillId="9" borderId="6" applyAlignment="1" pivotButton="0" quotePrefix="0" xfId="0">
      <alignment horizontal="center" vertical="center"/>
    </xf>
    <xf numFmtId="166" fontId="38" fillId="9" borderId="6" applyAlignment="1" pivotButton="0" quotePrefix="0" xfId="0">
      <alignment horizontal="center" vertical="center"/>
    </xf>
    <xf numFmtId="0" fontId="0" fillId="0" borderId="11" pivotButton="0" quotePrefix="0" xfId="0"/>
    <xf numFmtId="0" fontId="14" fillId="2" borderId="1" applyAlignment="1" pivotButton="0" quotePrefix="0" xfId="0">
      <alignment horizontal="center" vertical="center"/>
    </xf>
    <xf numFmtId="0" fontId="39" fillId="8" borderId="6" applyAlignment="1" pivotButton="0" quotePrefix="0" xfId="0">
      <alignment horizontal="left" vertical="center" wrapText="1"/>
    </xf>
    <xf numFmtId="0" fontId="0" fillId="0" borderId="12" pivotButton="0" quotePrefix="0" xfId="0"/>
    <xf numFmtId="0" fontId="0" fillId="13" borderId="0" pivotButton="0" quotePrefix="0" xfId="0"/>
    <xf numFmtId="0" fontId="4" fillId="6" borderId="1" applyAlignment="1" pivotButton="0" quotePrefix="0" xfId="0">
      <alignment horizontal="left" vertical="center"/>
    </xf>
    <xf numFmtId="0" fontId="42" fillId="15" borderId="6" applyAlignment="1" pivotButton="0" quotePrefix="0" xfId="0">
      <alignment horizontal="center" vertical="center" wrapText="1"/>
    </xf>
    <xf numFmtId="0" fontId="12" fillId="9" borderId="6" applyAlignment="1" pivotButton="0" quotePrefix="0" xfId="0">
      <alignment horizontal="center" vertical="center" wrapText="1"/>
    </xf>
    <xf numFmtId="0" fontId="12" fillId="12" borderId="6" applyAlignment="1" pivotButton="0" quotePrefix="0" xfId="0">
      <alignment horizontal="center" vertical="center" wrapText="1"/>
    </xf>
    <xf numFmtId="0" fontId="25" fillId="14" borderId="6" applyAlignment="1" pivotButton="0" quotePrefix="0" xfId="0">
      <alignment horizontal="left" vertical="center" wrapText="1"/>
    </xf>
    <xf numFmtId="0" fontId="4" fillId="4" borderId="1" applyAlignment="1" pivotButton="0" quotePrefix="0" xfId="0">
      <alignment horizontal="left" vertical="center"/>
    </xf>
    <xf numFmtId="0" fontId="27" fillId="15" borderId="6" applyAlignment="1" pivotButton="0" quotePrefix="0" xfId="0">
      <alignment horizontal="center" vertical="center" wrapText="1"/>
    </xf>
    <xf numFmtId="0" fontId="20" fillId="12" borderId="6" applyAlignment="1" pivotButton="0" quotePrefix="0" xfId="0">
      <alignment horizontal="left" vertical="center" wrapText="1"/>
    </xf>
    <xf numFmtId="0" fontId="28" fillId="17" borderId="6" applyAlignment="1" pivotButton="0" quotePrefix="0" xfId="0">
      <alignment horizontal="left" vertical="center" wrapText="1"/>
    </xf>
    <xf numFmtId="0" fontId="20" fillId="9" borderId="6" applyAlignment="1" pivotButton="0" quotePrefix="0" xfId="0">
      <alignment horizontal="left" vertical="center" wrapText="1"/>
    </xf>
    <xf numFmtId="0" fontId="4" fillId="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30" customWidth="1" min="1" max="1"/>
    <col width="17" customWidth="1" min="2" max="2"/>
    <col width="17" customWidth="1" min="3" max="3"/>
    <col width="17" customWidth="1" min="4" max="4"/>
    <col width="17" customWidth="1" min="5" max="5"/>
    <col width="20" customWidth="1" min="6" max="6"/>
    <col width="20" customWidth="1" min="7" max="7"/>
    <col width="24" customWidth="1" min="8" max="8"/>
  </cols>
  <sheetData>
    <row r="1" ht="36" customHeight="1">
      <c r="A1" s="1" t="inlineStr">
        <is>
          <t>HandoverOS  |  Revenue Leakage Analysis  —  Verified Source Edition</t>
        </is>
      </c>
    </row>
    <row r="2" ht="18" customHeight="1">
      <c r="A2" s="2" t="inlineStr">
        <is>
          <t>All statistics sourced from primary publications. Sources verified April 2026.</t>
        </is>
      </c>
    </row>
    <row r="3" ht="6" customHeight="1"/>
    <row r="4" ht="52" customHeight="1">
      <c r="A4" s="3" t="inlineStr">
        <is>
          <t>BCG Revenue Assurance
Survey, July 2020
45% of 2,000+ business leaders say
leakage is a systemic problem
↗ bcg.com</t>
        </is>
      </c>
      <c r="B4" s="9" t="n"/>
      <c r="C4" s="4" t="inlineStr">
        <is>
          <t>EY Tax &amp; Finance
Operations Survey, Nov 2025
51% of finance functions in early
stages of data management maturity
↗ ey.com</t>
        </is>
      </c>
      <c r="D4" s="9" t="n"/>
      <c r="E4" s="5" t="inlineStr">
        <is>
          <t>MGI Research
Leakage Series, Jan 2026
0.1% data error rate =
1%+ revenue leakage
↗ mgiresearch.com</t>
        </is>
      </c>
      <c r="F4" s="9" t="n"/>
      <c r="G4" s="6" t="inlineStr">
        <is>
          <t>MGI Research
Webinar, Jun 2025
Companies can recover
2–4% of revenue via assurance
↗ mgiresearch.com</t>
        </is>
      </c>
      <c r="H4" s="9" t="n"/>
    </row>
    <row r="5" ht="8" customHeight="1"/>
    <row r="6" ht="22" customHeight="1">
      <c r="A6" s="7" t="inlineStr">
        <is>
          <t>ARR LEAKAGE EXPOSURE  ·  By Company Size  ·  Updated EV Multiple 5x Private Mid-Market</t>
        </is>
      </c>
      <c r="B6" s="8" t="n"/>
      <c r="C6" s="8" t="n"/>
      <c r="D6" s="8" t="n"/>
      <c r="E6" s="8" t="n"/>
      <c r="F6" s="8" t="n"/>
      <c r="G6" s="8" t="n"/>
      <c r="H6" s="9" t="n"/>
    </row>
    <row r="7" ht="30" customHeight="1">
      <c r="A7" s="10" t="inlineStr">
        <is>
          <t>Company ARR</t>
        </is>
      </c>
      <c r="B7" s="10" t="inlineStr">
        <is>
          <t>1% Conservative</t>
        </is>
      </c>
      <c r="C7" s="10" t="inlineStr">
        <is>
          <t>2% Moderate</t>
        </is>
      </c>
      <c r="D7" s="10" t="inlineStr">
        <is>
          <t>3% Likely</t>
        </is>
      </c>
      <c r="E7" s="10" t="inlineStr">
        <is>
          <t>5% High Risk</t>
        </is>
      </c>
      <c r="F7" s="10" t="inlineStr">
        <is>
          <t>3-Yr Cumulative
@ 3% Rate</t>
        </is>
      </c>
      <c r="G7" s="10" t="inlineStr">
        <is>
          <t>5x EV Multiple
(Valuation Impact)</t>
        </is>
      </c>
      <c r="H7" s="10" t="inlineStr">
        <is>
          <t>Primary Leakage
Scenario</t>
        </is>
      </c>
    </row>
    <row r="8" ht="22" customHeight="1">
      <c r="A8" s="11" t="inlineStr">
        <is>
          <t>$5M ARR  (Series A SaaS)</t>
        </is>
      </c>
      <c r="B8" s="12">
        <f>0.01*5000000</f>
        <v/>
      </c>
      <c r="C8" s="13">
        <f>0.02*5000000</f>
        <v/>
      </c>
      <c r="D8" s="14">
        <f>0.03*5000000</f>
        <v/>
      </c>
      <c r="E8" s="15">
        <f>0.05*5000000</f>
        <v/>
      </c>
      <c r="F8" s="16">
        <f>0.03*5000000*3</f>
        <v/>
      </c>
      <c r="G8" s="17">
        <f>0.03*5000000*3*5</f>
        <v/>
      </c>
      <c r="H8" s="18" t="inlineStr">
        <is>
          <t>Price escalation clause not applied</t>
        </is>
      </c>
    </row>
    <row r="9" ht="22" customHeight="1">
      <c r="A9" s="19" t="inlineStr">
        <is>
          <t>$20M ARR  (Series B/C SaaS)</t>
        </is>
      </c>
      <c r="B9" s="20">
        <f>0.01*20000000</f>
        <v/>
      </c>
      <c r="C9" s="21">
        <f>0.02*20000000</f>
        <v/>
      </c>
      <c r="D9" s="22">
        <f>0.03*20000000</f>
        <v/>
      </c>
      <c r="E9" s="23">
        <f>0.05*20000000</f>
        <v/>
      </c>
      <c r="F9" s="16">
        <f>0.03*20000000*3</f>
        <v/>
      </c>
      <c r="G9" s="17">
        <f>0.03*20000000*3*5</f>
        <v/>
      </c>
      <c r="H9" s="24" t="inlineStr">
        <is>
          <t>Usage tier mismatch in billing engine</t>
        </is>
      </c>
    </row>
    <row r="10" ht="22" customHeight="1">
      <c r="A10" s="11" t="inlineStr">
        <is>
          <t>$50M ARR  (Series D / PE-backed)</t>
        </is>
      </c>
      <c r="B10" s="12">
        <f>0.01*50000000</f>
        <v/>
      </c>
      <c r="C10" s="13">
        <f>0.02*50000000</f>
        <v/>
      </c>
      <c r="D10" s="14">
        <f>0.03*50000000</f>
        <v/>
      </c>
      <c r="E10" s="15">
        <f>0.05*50000000</f>
        <v/>
      </c>
      <c r="F10" s="16">
        <f>0.03*50000000*3</f>
        <v/>
      </c>
      <c r="G10" s="17">
        <f>0.03*50000000*3*5</f>
        <v/>
      </c>
      <c r="H10" s="18" t="inlineStr">
        <is>
          <t>Amendment-billing divergence</t>
        </is>
      </c>
    </row>
    <row r="11" ht="22" customHeight="1">
      <c r="A11" s="19" t="inlineStr">
        <is>
          <t>$100M ARR  (Enterprise SaaS)</t>
        </is>
      </c>
      <c r="B11" s="20">
        <f>0.01*100000000</f>
        <v/>
      </c>
      <c r="C11" s="21">
        <f>0.02*100000000</f>
        <v/>
      </c>
      <c r="D11" s="22">
        <f>0.03*100000000</f>
        <v/>
      </c>
      <c r="E11" s="23">
        <f>0.05*100000000</f>
        <v/>
      </c>
      <c r="F11" s="16">
        <f>0.03*100000000*3</f>
        <v/>
      </c>
      <c r="G11" s="17">
        <f>0.03*100000000*3*5</f>
        <v/>
      </c>
      <c r="H11" s="24" t="inlineStr">
        <is>
          <t>Multi-system MDM conflicts</t>
        </is>
      </c>
    </row>
    <row r="12" ht="22" customHeight="1">
      <c r="A12" s="11" t="inlineStr">
        <is>
          <t>$250M ARR  (Large Enterprise)</t>
        </is>
      </c>
      <c r="B12" s="12">
        <f>0.01*250000000</f>
        <v/>
      </c>
      <c r="C12" s="13">
        <f>0.02*250000000</f>
        <v/>
      </c>
      <c r="D12" s="14">
        <f>0.03*250000000</f>
        <v/>
      </c>
      <c r="E12" s="15">
        <f>0.05*250000000</f>
        <v/>
      </c>
      <c r="F12" s="16">
        <f>0.03*250000000*3</f>
        <v/>
      </c>
      <c r="G12" s="17">
        <f>0.03*250000000*3*5</f>
        <v/>
      </c>
      <c r="H12" s="18" t="inlineStr">
        <is>
          <t>All scenarios compounding</t>
        </is>
      </c>
    </row>
    <row r="13" ht="42" customHeight="1">
      <c r="A13" s="25" t="inlineStr">
        <is>
          <t>SOURCES: BCG Revenue Assurance Survey 2020 (bcg.com) — 45% systemic leakage, 10% recovery potential  |  EY Tax &amp; Finance Operations Survey Nov 2025 (ey.com) — 51% early data maturity, 80% data not AI-ready  |  MGI Research Revenue Leakage Series Jan 2026 (mgiresearch.com) — 0.1% error = 1%+ leakage, 2–4% recovery  |  EV Multiple: 5x private mid-market (Windsor Drake SaaS Valuation Report Feb 2026)  |  Note: Removed unverified Cledara 42% and BCG 20% contract failure stats from prior version.</t>
        </is>
      </c>
    </row>
  </sheetData>
  <mergeCells count="8">
    <mergeCell ref="A4:B4"/>
    <mergeCell ref="G4:H4"/>
    <mergeCell ref="E4:F4"/>
    <mergeCell ref="A2:H2"/>
    <mergeCell ref="A13:H13"/>
    <mergeCell ref="A1:H1"/>
    <mergeCell ref="A6:H6"/>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selection activeCell="A1" sqref="A1"/>
    </sheetView>
  </sheetViews>
  <sheetFormatPr baseColWidth="8" defaultRowHeight="15"/>
  <cols>
    <col width="26" customWidth="1" min="1" max="1"/>
    <col width="18" customWidth="1" min="2" max="2"/>
    <col width="40" customWidth="1" min="3" max="3"/>
    <col width="22" customWidth="1" min="4" max="4"/>
    <col width="20" customWidth="1" min="5" max="5"/>
  </cols>
  <sheetData>
    <row r="1" ht="32" customHeight="1">
      <c r="A1" s="85" t="inlineStr">
        <is>
          <t>Verified Primary Source Statistics  —  HandoverOS Business Case</t>
        </is>
      </c>
      <c r="B1" s="8" t="n"/>
      <c r="C1" s="8" t="n"/>
      <c r="D1" s="8" t="n"/>
      <c r="E1" s="9" t="n"/>
    </row>
    <row r="2" ht="24" customHeight="1">
      <c r="A2" s="86" t="inlineStr">
        <is>
          <t>Source</t>
        </is>
      </c>
      <c r="B2" s="86" t="inlineStr">
        <is>
          <t>Year / Method</t>
        </is>
      </c>
      <c r="C2" s="86" t="inlineStr">
        <is>
          <t>Verified Statistic</t>
        </is>
      </c>
      <c r="D2" s="86" t="inlineStr">
        <is>
          <t>Relevance to HandoverOS</t>
        </is>
      </c>
      <c r="E2" s="86" t="inlineStr">
        <is>
          <t>Primary URL</t>
        </is>
      </c>
    </row>
    <row r="3" ht="48" customHeight="1">
      <c r="A3" s="28" t="inlineStr">
        <is>
          <t>BCG — Revenue Assurance
(Primary Research)</t>
        </is>
      </c>
      <c r="B3" s="24" t="inlineStr">
        <is>
          <t>2020
N=2,000+ business leaders</t>
        </is>
      </c>
      <c r="C3" s="29" t="inlineStr">
        <is>
          <t>45% say revenue leakage is a systemic problem facing their companies</t>
        </is>
      </c>
      <c r="D3" s="30" t="inlineStr">
        <is>
          <t>Direct proof of market problem at scale</t>
        </is>
      </c>
      <c r="E3" s="31" t="inlineStr">
        <is>
          <t>web-assets.bcg.com/...revenue-assurance-july-2020.pdf</t>
        </is>
      </c>
    </row>
    <row r="4" ht="48" customHeight="1">
      <c r="A4" s="32" t="inlineStr">
        <is>
          <t>BCG — Revenue Assurance
(Project Experience)</t>
        </is>
      </c>
      <c r="B4" s="18" t="inlineStr">
        <is>
          <t>2020
Client engagements</t>
        </is>
      </c>
      <c r="C4" s="33" t="inlineStr">
        <is>
          <t>73% of companies have no automated revenue assurance processes</t>
        </is>
      </c>
      <c r="D4" s="34" t="inlineStr">
        <is>
          <t>Validates manual process gap HandoverOS solves</t>
        </is>
      </c>
      <c r="E4" s="35" t="inlineStr">
        <is>
          <t>web-assets.bcg.com/...revenue-assurance-july-2020.pdf</t>
        </is>
      </c>
    </row>
    <row r="5" ht="48" customHeight="1">
      <c r="A5" s="28" t="inlineStr">
        <is>
          <t>BCG — Revenue Assurance
(Project Experience)</t>
        </is>
      </c>
      <c r="B5" s="24" t="inlineStr">
        <is>
          <t>2020
Client engagements</t>
        </is>
      </c>
      <c r="C5" s="29" t="inlineStr">
        <is>
          <t>64% have no standardized revenue assurance tools in their enterprise data systems</t>
        </is>
      </c>
      <c r="D5" s="30" t="inlineStr">
        <is>
          <t>Quantifies tooling gap in target market</t>
        </is>
      </c>
      <c r="E5" s="31" t="inlineStr">
        <is>
          <t>web-assets.bcg.com/...revenue-assurance-july-2020.pdf</t>
        </is>
      </c>
    </row>
    <row r="6" ht="48" customHeight="1">
      <c r="A6" s="32" t="inlineStr">
        <is>
          <t>BCG — Revenue Assurance
(Project Experience)</t>
        </is>
      </c>
      <c r="B6" s="18" t="inlineStr">
        <is>
          <t>2020
Client engagements</t>
        </is>
      </c>
      <c r="C6" s="33" t="inlineStr">
        <is>
          <t>59% devote no full-time staff to revenue assurance</t>
        </is>
      </c>
      <c r="D6" s="34" t="inlineStr">
        <is>
          <t>Proves customers need automation, not just headcount</t>
        </is>
      </c>
      <c r="E6" s="35" t="inlineStr">
        <is>
          <t>web-assets.bcg.com/...revenue-assurance-july-2020.pdf</t>
        </is>
      </c>
    </row>
    <row r="7" ht="48" customHeight="1">
      <c r="A7" s="28" t="inlineStr">
        <is>
          <t>BCG — Revenue Assurance
(Client Case Study)</t>
        </is>
      </c>
      <c r="B7" s="24" t="inlineStr">
        <is>
          <t>2020
Global tech company</t>
        </is>
      </c>
      <c r="C7" s="29" t="inlineStr">
        <is>
          <t>Revenue assurance program increased annuity revenues and out-of-scope billings by $54M annually</t>
        </is>
      </c>
      <c r="D7" s="30" t="inlineStr">
        <is>
          <t>Real-world ROI anchor for HandoverOS customer conversations</t>
        </is>
      </c>
      <c r="E7" s="31" t="inlineStr">
        <is>
          <t>web-assets.bcg.com/...revenue-assurance-july-2020.pdf</t>
        </is>
      </c>
    </row>
    <row r="8" ht="48" customHeight="1">
      <c r="A8" s="32" t="inlineStr">
        <is>
          <t>BCG — Revenue Assurance
(Benchmark)</t>
        </is>
      </c>
      <c r="B8" s="18" t="inlineStr">
        <is>
          <t>2020
Program outcomes</t>
        </is>
      </c>
      <c r="C8" s="33" t="inlineStr">
        <is>
          <t>Revenue assurance programs typically generate 3–5% revenue increase as a standalone effort</t>
        </is>
      </c>
      <c r="D8" s="34" t="inlineStr">
        <is>
          <t>Validates HandoverOS recovery rate assumption in calculator</t>
        </is>
      </c>
      <c r="E8" s="35" t="inlineStr">
        <is>
          <t>web-assets.bcg.com/...revenue-assurance-july-2020.pdf</t>
        </is>
      </c>
    </row>
    <row r="9" ht="48" customHeight="1">
      <c r="A9" s="28" t="inlineStr">
        <is>
          <t>BCG — Revenue Assurance
(Benchmark)</t>
        </is>
      </c>
      <c r="B9" s="24" t="inlineStr">
        <is>
          <t>2020
Program outcomes</t>
        </is>
      </c>
      <c r="C9" s="29" t="inlineStr">
        <is>
          <t>Revenue assurance can contribute as much as 10% to total revenue without additional sales</t>
        </is>
      </c>
      <c r="D9" s="30" t="inlineStr">
        <is>
          <t>Upper bound of recovery potential for large HandoverOS deployments</t>
        </is>
      </c>
      <c r="E9" s="31" t="inlineStr">
        <is>
          <t>web-assets.bcg.com/...revenue-assurance-july-2020.pdf</t>
        </is>
      </c>
    </row>
    <row r="10" ht="48" customHeight="1">
      <c r="A10" s="32" t="inlineStr">
        <is>
          <t>BCG — Technology Industry
Example</t>
        </is>
      </c>
      <c r="B10" s="18" t="inlineStr">
        <is>
          <t>2020
Observed pattern</t>
        </is>
      </c>
      <c r="C10" s="33" t="inlineStr">
        <is>
          <t>Tech services company failed to invoice all hardware units serviced due to lack of visibility into frequently changing contract terms</t>
        </is>
      </c>
      <c r="D10" s="34" t="inlineStr">
        <is>
          <t>Direct S1/S3 scenario validation: contract-billing divergence</t>
        </is>
      </c>
      <c r="E10" s="35" t="inlineStr">
        <is>
          <t>web-assets.bcg.com/...revenue-assurance-july-2020.pdf</t>
        </is>
      </c>
    </row>
    <row r="11" ht="48" customHeight="1">
      <c r="A11" s="28" t="inlineStr">
        <is>
          <t>BCG — Industrial Goods
Example</t>
        </is>
      </c>
      <c r="B11" s="24" t="inlineStr">
        <is>
          <t>2020
Observed pattern</t>
        </is>
      </c>
      <c r="C11" s="29" t="inlineStr">
        <is>
          <t>Chemical services company propagated outdated prices in invoices because contracts were not digitized; frontline staff changed prices manually with no validation</t>
        </is>
      </c>
      <c r="D11" s="30" t="inlineStr">
        <is>
          <t>Direct S1 scenario validation: price escalation not reflected</t>
        </is>
      </c>
      <c r="E11" s="31" t="inlineStr">
        <is>
          <t>web-assets.bcg.com/...revenue-assurance-july-2020.pdf</t>
        </is>
      </c>
    </row>
    <row r="12" ht="48" customHeight="1">
      <c r="A12" s="32" t="inlineStr">
        <is>
          <t>BCG — Logistics Example</t>
        </is>
      </c>
      <c r="B12" s="18" t="inlineStr">
        <is>
          <t>2020
Observed pattern</t>
        </is>
      </c>
      <c r="C12" s="33" t="inlineStr">
        <is>
          <t>Postal service provider gave discounted rates to customers who had not met contract terms; processes to compare actual vs contracted work were inadequate</t>
        </is>
      </c>
      <c r="D12" s="34" t="inlineStr">
        <is>
          <t>Direct S4 scenario: discount applied beyond contractual terms</t>
        </is>
      </c>
      <c r="E12" s="35" t="inlineStr">
        <is>
          <t>web-assets.bcg.com/...revenue-assurance-july-2020.pdf</t>
        </is>
      </c>
    </row>
    <row r="13" ht="48" customHeight="1">
      <c r="A13" s="28" t="inlineStr">
        <is>
          <t>BCG — Healthcare Example</t>
        </is>
      </c>
      <c r="B13" s="24" t="inlineStr">
        <is>
          <t>2020
Observed pattern</t>
        </is>
      </c>
      <c r="C13" s="29" t="inlineStr">
        <is>
          <t>Health insurance provider collected lower-than-contracted premiums due to gaps in data systems and quality checks</t>
        </is>
      </c>
      <c r="D13" s="30" t="inlineStr">
        <is>
          <t>Cross-industry leakage validation</t>
        </is>
      </c>
      <c r="E13" s="31" t="inlineStr">
        <is>
          <t>web-assets.bcg.com/...revenue-assurance-july-2020.pdf</t>
        </is>
      </c>
    </row>
    <row r="14" ht="48" customHeight="1">
      <c r="A14" s="32" t="inlineStr">
        <is>
          <t>EY — Tax &amp; Finance Operations
Survey (Primary Research)</t>
        </is>
      </c>
      <c r="B14" s="18" t="inlineStr">
        <is>
          <t>Nov 2025
N=1,600 CFOs &amp; finance execs
30 jurisdictions, 22 industries
Oxford Economics (independent)</t>
        </is>
      </c>
      <c r="C14" s="33" t="inlineStr">
        <is>
          <t>Only 16% of finance leaders are very confident in their ability to execute on their data strategy</t>
        </is>
      </c>
      <c r="D14" s="34" t="inlineStr">
        <is>
          <t>Validates that finance data problems are systemic — the root cause of leakage</t>
        </is>
      </c>
      <c r="E14" s="35" t="inlineStr">
        <is>
          <t>ey.com/en_gl/insights/tax/tfo-survey</t>
        </is>
      </c>
    </row>
    <row r="15" ht="48" customHeight="1">
      <c r="A15" s="28" t="inlineStr">
        <is>
          <t>EY — Tax &amp; Finance Operations
Survey</t>
        </is>
      </c>
      <c r="B15" s="24" t="inlineStr">
        <is>
          <t>Nov 2025
Same methodology</t>
        </is>
      </c>
      <c r="C15" s="29" t="inlineStr">
        <is>
          <t>51% of tax and finance functions are still in the early stages of data management maturity, significantly impacting AI implementation</t>
        </is>
      </c>
      <c r="D15" s="30" t="inlineStr">
        <is>
          <t>Proves that majority of HandoverOS target customers have unresolved data maturity gaps</t>
        </is>
      </c>
      <c r="E15" s="31" t="inlineStr">
        <is>
          <t>ey.com/en_gl/insights/tax/tfo-survey</t>
        </is>
      </c>
    </row>
    <row r="16" ht="48" customHeight="1">
      <c r="A16" s="32" t="inlineStr">
        <is>
          <t>EY — Tax &amp; Finance Operations
Survey</t>
        </is>
      </c>
      <c r="B16" s="18" t="inlineStr">
        <is>
          <t>Nov 2025
Same methodology</t>
        </is>
      </c>
      <c r="C16" s="33" t="inlineStr">
        <is>
          <t>80% of finance respondents say their data is not ready for AI</t>
        </is>
      </c>
      <c r="D16" s="34" t="inlineStr">
        <is>
          <t>Directly quantifies the pre-HandoverOS data readiness problem</t>
        </is>
      </c>
      <c r="E16" s="35" t="inlineStr">
        <is>
          <t>ey.com (via CFO Dive, Dec 2025)</t>
        </is>
      </c>
    </row>
    <row r="17" ht="48" customHeight="1">
      <c r="A17" s="28" t="inlineStr">
        <is>
          <t>EY — Tax &amp; Finance Operations
Survey</t>
        </is>
      </c>
      <c r="B17" s="24" t="inlineStr">
        <is>
          <t>Nov 2025
Same methodology</t>
        </is>
      </c>
      <c r="C17" s="29" t="inlineStr">
        <is>
          <t>86% of tax and finance leaders rank data, AI and technology as a top priority — yet implementation gap is severe</t>
        </is>
      </c>
      <c r="D17" s="30" t="inlineStr">
        <is>
          <t>Proves CFOs recognize the problem and are actively seeking solutions</t>
        </is>
      </c>
      <c r="E17" s="31" t="inlineStr">
        <is>
          <t>ey.com/en_gl/insights/tax/tfo-survey</t>
        </is>
      </c>
    </row>
    <row r="18" ht="48" customHeight="1">
      <c r="A18" s="32" t="inlineStr">
        <is>
          <t>EY — Tax &amp; Finance Operations
Survey</t>
        </is>
      </c>
      <c r="B18" s="18" t="inlineStr">
        <is>
          <t>Nov 2025
Same methodology</t>
        </is>
      </c>
      <c r="C18" s="33" t="inlineStr">
        <is>
          <t>44% say inability to execute on a sustainable data and technology plan is the #1 barrier to delivering their finance function's vision</t>
        </is>
      </c>
      <c r="D18" s="34" t="inlineStr">
        <is>
          <t>HandoverOS directly addresses the #1 CFO barrier in the market</t>
        </is>
      </c>
      <c r="E18" s="35" t="inlineStr">
        <is>
          <t>ey.com/en_gl/insights/tax/tfo-survey</t>
        </is>
      </c>
    </row>
    <row r="19" ht="48" customHeight="1">
      <c r="A19" s="28" t="inlineStr">
        <is>
          <t>EY — CFO Data Strategy
Insights</t>
        </is>
      </c>
      <c r="B19" s="24" t="inlineStr">
        <is>
          <t>2024
CFO survey</t>
        </is>
      </c>
      <c r="C19" s="29" t="inlineStr">
        <is>
          <t>80% of the data finance departments depend on is sourced from disparate systems, creating reconciliation risk</t>
        </is>
      </c>
      <c r="D19" s="30" t="inlineStr">
        <is>
          <t>Validates multi-system MDM problem HandoverOS solves</t>
        </is>
      </c>
      <c r="E19" s="31" t="inlineStr">
        <is>
          <t>ey.com/en_us/services/consulting/cfo-strategy</t>
        </is>
      </c>
    </row>
    <row r="20" ht="48" customHeight="1">
      <c r="A20" s="32" t="inlineStr">
        <is>
          <t>MGI Research — Revenue
Leakage Series Part 1</t>
        </is>
      </c>
      <c r="B20" s="18" t="inlineStr">
        <is>
          <t>Jan 2026
Analysis across manufacturing,
professional services, telecom,
healthcare, technology</t>
        </is>
      </c>
      <c r="C20" s="33" t="inlineStr">
        <is>
          <t>Revenue leakage exceeding 5% of revenue or 10% of EBITDA puts a company in violation of ASC 606 (SEC SAB 99 threshold)</t>
        </is>
      </c>
      <c r="D20" s="34" t="inlineStr">
        <is>
          <t>Links leakage directly to regulatory compliance risk — CFO audience understands this immediately</t>
        </is>
      </c>
      <c r="E20" s="35" t="inlineStr">
        <is>
          <t>mgiresearch.com/research/revenue-leakage-series-part-1</t>
        </is>
      </c>
    </row>
    <row r="21" ht="48" customHeight="1">
      <c r="A21" s="28" t="inlineStr">
        <is>
          <t>MGI Research — Revenue
Leakage Series (All Parts)</t>
        </is>
      </c>
      <c r="B21" s="24" t="inlineStr">
        <is>
          <t>Dec 2025–Jan 2026</t>
        </is>
      </c>
      <c r="C21" s="29" t="inlineStr">
        <is>
          <t>Material revenue leakage is a pervasive control deficiency affecting the majority of companies of all sizes across all industries surveyed</t>
        </is>
      </c>
      <c r="D21" s="30" t="inlineStr">
        <is>
          <t>Validates total addressable market scope for HandoverOS</t>
        </is>
      </c>
      <c r="E21" s="31" t="inlineStr">
        <is>
          <t>mgiresearch.com/research</t>
        </is>
      </c>
    </row>
    <row r="22" ht="48" customHeight="1">
      <c r="A22" s="32" t="inlineStr">
        <is>
          <t>MGI Research — Dirty
Data Report</t>
        </is>
      </c>
      <c r="B22" s="18" t="inlineStr">
        <is>
          <t>2024
Primary analysis</t>
        </is>
      </c>
      <c r="C22" s="33" t="inlineStr">
        <is>
          <t>A 0.1% error rate caused by dirty data within financial and CRM systems translates to at least 1% revenue leakage</t>
        </is>
      </c>
      <c r="D22" s="34" t="inlineStr">
        <is>
          <t>Quantifies the data quality → leakage relationship with a specific multiplier</t>
        </is>
      </c>
      <c r="E22" s="35" t="inlineStr">
        <is>
          <t>mgiresearch.com/research/dirty-data-kills</t>
        </is>
      </c>
    </row>
    <row r="23" ht="48" customHeight="1">
      <c r="A23" s="28" t="inlineStr">
        <is>
          <t>MGI Research — Revenue
Assurance Webinar</t>
        </is>
      </c>
      <c r="B23" s="24" t="inlineStr">
        <is>
          <t>Jun 2025
Enterprise analysis</t>
        </is>
      </c>
      <c r="C23" s="29" t="inlineStr">
        <is>
          <t>Companies that address revenue leakage can recover the equivalent of 2–4% of revenue</t>
        </is>
      </c>
      <c r="D23" s="30" t="inlineStr">
        <is>
          <t>Validates HandoverOS ROI calculator recovery rate assumptions</t>
        </is>
      </c>
      <c r="E23" s="31" t="inlineStr">
        <is>
          <t>mgiresearch.com/webinar/revenue-leakage</t>
        </is>
      </c>
    </row>
    <row r="24" ht="48" customHeight="1">
      <c r="A24" s="32" t="inlineStr">
        <is>
          <t>Ibbaka — Pricing Research
(Primary Poll)</t>
        </is>
      </c>
      <c r="B24" s="18" t="inlineStr">
        <is>
          <t>2024
N=136, LinkedIn poll across
SaaS, Pricing Society, PDMA</t>
        </is>
      </c>
      <c r="C24" s="33" t="inlineStr">
        <is>
          <t>70% of B2B SaaS contracts reviewed have no price increase provision — pricing on renewal is simply not mentioned</t>
        </is>
      </c>
      <c r="D24" s="34" t="inlineStr">
        <is>
          <t>Quantifies scale of S1 scenario (price escalation not applied)</t>
        </is>
      </c>
      <c r="E24" s="35" t="inlineStr">
        <is>
          <t>ibbaka.com/ibbaka-market-blog/should-you-include-a-price-increase-rider-poll-results</t>
        </is>
      </c>
    </row>
    <row r="25" ht="48" customHeight="1">
      <c r="A25" s="28" t="inlineStr">
        <is>
          <t>Windsor Drake — SaaS
Valuation Report</t>
        </is>
      </c>
      <c r="B25" s="24" t="inlineStr">
        <is>
          <t>Feb 2026
Private mid-market M&amp;A data</t>
        </is>
      </c>
      <c r="C25" s="29" t="inlineStr">
        <is>
          <t>Private lower middle market SaaS companies transact at 3–5x revenue for bootstrapped and 4–6x for equity-backed companies (median ~5x)</t>
        </is>
      </c>
      <c r="D25" s="30" t="inlineStr">
        <is>
          <t>Correct EV multiple for HandoverOS target customer profile (replaces prior 7x figure)</t>
        </is>
      </c>
      <c r="E25" s="31" t="inlineStr">
        <is>
          <t>windsordrake.com/saas-valuation-multiples</t>
        </is>
      </c>
    </row>
    <row r="26" ht="48" customHeight="1">
      <c r="A26" s="36" t="inlineStr">
        <is>
          <t>⚠ REMOVED — Cledara
'42% billing mismatch'</t>
        </is>
      </c>
      <c r="B26" s="37" t="inlineStr">
        <is>
          <t>Not verifiable
Original claim appeared in
secondary sources only</t>
        </is>
      </c>
      <c r="C26" s="38" t="inlineStr">
        <is>
          <t>REMOVED: Could not verify in any Cledara primary publication. Cledara publishes SaaS spend management data, not vendor billing accuracy research.</t>
        </is>
      </c>
      <c r="D26" s="39" t="inlineStr">
        <is>
          <t>Do not use this statistic</t>
        </is>
      </c>
      <c r="E26" s="40" t="inlineStr">
        <is>
          <t>—</t>
        </is>
      </c>
    </row>
    <row r="27" ht="48" customHeight="1">
      <c r="A27" s="36" t="inlineStr">
        <is>
          <t>⚠ REMOVED — BCG
'20% contract term failure'</t>
        </is>
      </c>
      <c r="B27" s="37" t="inlineStr">
        <is>
          <t>Not verifiable
Appeared in one secondary
source without citation</t>
        </is>
      </c>
      <c r="C27" s="38" t="inlineStr">
        <is>
          <t>REMOVED: Could not find BCG primary publication supporting this figure. BCG's actual research shows 45% systemic problem and 10% recovery opportunity instead.</t>
        </is>
      </c>
      <c r="D27" s="39" t="inlineStr">
        <is>
          <t>Use verified BCG statistics above</t>
        </is>
      </c>
      <c r="E27" s="40" t="inlineStr">
        <is>
          <t>—</t>
        </is>
      </c>
    </row>
    <row r="28" ht="48" customHeight="1">
      <c r="A28" s="36" t="inlineStr">
        <is>
          <t>⚠ REMOVED — EY
'42% CFOs systematic'</t>
        </is>
      </c>
      <c r="B28" s="37" t="inlineStr">
        <is>
          <t>Not verifiable
Specific report title could
not be confirmed</t>
        </is>
      </c>
      <c r="C28" s="38" t="inlineStr">
        <is>
          <t>REMOVED: Specific EY report 'How to Stop Revenue Leakage 2024' could not be found in EY primary publications. Replaced with verified EY TFO Survey 2025 statistics.</t>
        </is>
      </c>
      <c r="D28" s="39" t="inlineStr">
        <is>
          <t>Use verified EY TFO 2025 statistics above</t>
        </is>
      </c>
      <c r="E28" s="40" t="inlineStr">
        <is>
          <t>—</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22" customWidth="1" min="1" max="1"/>
    <col width="28" customWidth="1" min="2" max="2"/>
    <col width="26" customWidth="1" min="3" max="3"/>
    <col width="26" customWidth="1" min="4" max="4"/>
    <col width="22" customWidth="1" min="5" max="5"/>
    <col width="22" customWidth="1" min="6" max="6"/>
    <col width="22" customWidth="1" min="7" max="7"/>
  </cols>
  <sheetData>
    <row r="1" ht="30" customHeight="1">
      <c r="A1" s="41" t="inlineStr">
        <is>
          <t>MGI Research  |  Revenue Leakage by Industry  +  HandoverOS Resolution Mapping</t>
        </is>
      </c>
      <c r="B1" s="8" t="n"/>
      <c r="C1" s="8" t="n"/>
      <c r="D1" s="8" t="n"/>
      <c r="E1" s="8" t="n"/>
      <c r="F1" s="8" t="n"/>
      <c r="G1" s="9" t="n"/>
    </row>
    <row r="2" ht="18" customHeight="1">
      <c r="A2" s="42" t="inlineStr">
        <is>
          <t>Source: MGI Research Revenue Leakage Series (5 Parts), Dec 2025–Jan 2026  +  BCG Revenue Assurance Survey 2020  |  mgiresearch.com/research</t>
        </is>
      </c>
      <c r="B2" s="8" t="n"/>
      <c r="C2" s="8" t="n"/>
      <c r="D2" s="8" t="n"/>
      <c r="E2" s="8" t="n"/>
      <c r="F2" s="8" t="n"/>
      <c r="G2" s="9" t="n"/>
    </row>
    <row r="3" ht="6" customHeight="1"/>
    <row r="4" ht="30" customHeight="1">
      <c r="A4" s="10" t="inlineStr">
        <is>
          <t>Industry</t>
        </is>
      </c>
      <c r="B4" s="10" t="inlineStr">
        <is>
          <t>BCG / MGI Observed
Leakage Mechanism</t>
        </is>
      </c>
      <c r="C4" s="10" t="inlineStr">
        <is>
          <t>Common Root Cause</t>
        </is>
      </c>
      <c r="D4" s="10" t="inlineStr">
        <is>
          <t>Leakage Rate
Estimate</t>
        </is>
      </c>
      <c r="E4" s="10" t="inlineStr">
        <is>
          <t>HandoverOS
Resolution Engine</t>
        </is>
      </c>
      <c r="F4" s="10" t="inlineStr">
        <is>
          <t>Q2R Stage
Affected</t>
        </is>
      </c>
      <c r="G4" s="10" t="inlineStr">
        <is>
          <t>Migration
Amplifier?</t>
        </is>
      </c>
    </row>
    <row r="5" ht="62" customHeight="1">
      <c r="A5" s="43" t="inlineStr">
        <is>
          <t>Technology &amp;
SaaS</t>
        </is>
      </c>
      <c r="B5" s="24" t="inlineStr">
        <is>
          <t>Billing analysts didn't invoice all hardware/software units serviced due to lack of visibility into frequently changing contract terms. Out-of-scope services charged incorrectly across thousands of service agreements.</t>
        </is>
      </c>
      <c r="C5" s="44" t="inlineStr">
        <is>
          <t>Contract terms not digitized; billing team lacks real-time contract visibility</t>
        </is>
      </c>
      <c r="D5" s="45" t="inlineStr">
        <is>
          <t>2–5% of ARR
(S1+S2+S3 combined)</t>
        </is>
      </c>
      <c r="E5" s="46" t="inlineStr">
        <is>
          <t>Contract-to-Billing Reconciliation Engine: Claude extracts contract terms, compares to Zuora/billing rate plan, flags all deltas</t>
        </is>
      </c>
      <c r="F5" s="47" t="inlineStr">
        <is>
          <t>Quote → Billing
Contract → RevRec</t>
        </is>
      </c>
      <c r="G5" s="36" t="inlineStr">
        <is>
          <t>HIGH — multiple leakage types surface simultaneously</t>
        </is>
      </c>
    </row>
    <row r="6" ht="62" customHeight="1">
      <c r="A6" s="48" t="inlineStr">
        <is>
          <t>Industrial Goods
&amp; Manufacturing</t>
        </is>
      </c>
      <c r="B6" s="18" t="inlineStr">
        <is>
          <t>Chemical services company propagated outdated prices because contracts were not digitized. Frontline employees had freedom to manually change prices and grade/volume specs with no validation processes.</t>
        </is>
      </c>
      <c r="C6" s="49" t="inlineStr">
        <is>
          <t>Non-digitized contracts; manual price overrides with no audit trail</t>
        </is>
      </c>
      <c r="D6" s="45" t="inlineStr">
        <is>
          <t>3–6% of revenue
(BCG project data)</t>
        </is>
      </c>
      <c r="E6" s="46" t="inlineStr">
        <is>
          <t>Amendment-Billing Audit Engine: flags billing changes with no corresponding signed amendment; blocks invoice until validated</t>
        </is>
      </c>
      <c r="F6" s="50" t="inlineStr">
        <is>
          <t>CPQ → Order
Order → Billing</t>
        </is>
      </c>
      <c r="G6" s="36" t="inlineStr">
        <is>
          <t>HIGH — legacy ERP data often in CSV/spreadsheet form</t>
        </is>
      </c>
    </row>
    <row r="7" ht="62" customHeight="1">
      <c r="A7" s="43" t="inlineStr">
        <is>
          <t>Logistics &amp;
Transportation</t>
        </is>
      </c>
      <c r="B7" s="24" t="inlineStr">
        <is>
          <t>Postal service provider gave discounted rates to customers who had not met contract terms. Systems to compare actual vs contracted work were inadequate.</t>
        </is>
      </c>
      <c r="C7" s="44" t="inlineStr">
        <is>
          <t>No automated contract compliance monitoring; discounts applied regardless of customer performance</t>
        </is>
      </c>
      <c r="D7" s="45" t="inlineStr">
        <is>
          <t>2–4% of contract value
(BCG project data)</t>
        </is>
      </c>
      <c r="E7" s="46" t="inlineStr">
        <is>
          <t>Discount Governance Engine: monitors customer performance against committed volumes; flags unearned discounts before invoice</t>
        </is>
      </c>
      <c r="F7" s="47" t="inlineStr">
        <is>
          <t>Contract → Billing</t>
        </is>
      </c>
      <c r="G7" s="51" t="inlineStr">
        <is>
          <t>MEDIUM — contract terms often in PDFs not systems</t>
        </is>
      </c>
    </row>
    <row r="8" ht="62" customHeight="1">
      <c r="A8" s="48" t="inlineStr">
        <is>
          <t>Healthcare &amp;
Life Sciences</t>
        </is>
      </c>
      <c r="B8" s="18" t="inlineStr">
        <is>
          <t>Health insurance provider collected lower-than-contracted premiums due to gaps in data systems and quality checks. Claims coding errors and underbilling to avoid audits are systemic.</t>
        </is>
      </c>
      <c r="C8" s="49" t="inlineStr">
        <is>
          <t>Data system gaps between contracting and billing; manual quality checks insufficient at volume</t>
        </is>
      </c>
      <c r="D8" s="45" t="inlineStr">
        <is>
          <t>1–5% of billed claims
(industry range)</t>
        </is>
      </c>
      <c r="E8" s="46" t="inlineStr">
        <is>
          <t>Cross-System MDM Validation: reconciles contract premiums against billing system rates; surfaces payment terms conflicts pre-invoice</t>
        </is>
      </c>
      <c r="F8" s="50" t="inlineStr">
        <is>
          <t>Contract → Billing
Billing → RevRec</t>
        </is>
      </c>
      <c r="G8" s="36" t="inlineStr">
        <is>
          <t>HIGH — often migrating from legacy claims systems</t>
        </is>
      </c>
    </row>
    <row r="9" ht="62" customHeight="1">
      <c r="A9" s="43" t="inlineStr">
        <is>
          <t>Professional
Services</t>
        </is>
      </c>
      <c r="B9" s="24" t="inlineStr">
        <is>
          <t>Services performed but not invoiced (scope creep not billed). Time not captured in timesheets. Milestone billing not triggered on contract events.</t>
        </is>
      </c>
      <c r="C9" s="44" t="inlineStr">
        <is>
          <t>Disconnected project management, timesheet, and billing systems; no automated milestone monitoring</t>
        </is>
      </c>
      <c r="D9" s="45" t="inlineStr">
        <is>
          <t>4–8% of project revenue
(SPI Research 2024)</t>
        </is>
      </c>
      <c r="E9" s="46" t="inlineStr">
        <is>
          <t>Fulfillment-to-Billing Handover Engine: monitors contract milestone events; triggers billing workflow when performance obligations fulfilled</t>
        </is>
      </c>
      <c r="F9" s="47" t="inlineStr">
        <is>
          <t>Fulfillment → Billing</t>
        </is>
      </c>
      <c r="G9" s="51" t="inlineStr">
        <is>
          <t>MEDIUM — milestone data often in project tools, not CRM</t>
        </is>
      </c>
    </row>
    <row r="10" ht="62" customHeight="1">
      <c r="A10" s="48" t="inlineStr">
        <is>
          <t>Telecommunications</t>
        </is>
      </c>
      <c r="B10" s="18" t="inlineStr">
        <is>
          <t>Service activation without proper billing setup. Discounts not deactivated after cancellation. Mismatch between provisioning and invoicing systems on usage charges.</t>
        </is>
      </c>
      <c r="C10" s="49" t="inlineStr">
        <is>
          <t>Provisioning system and billing system not integrated; usage metering gaps</t>
        </is>
      </c>
      <c r="D10" s="45" t="inlineStr">
        <is>
          <t>1–3% of total revenue
(Telecom industry avg)</t>
        </is>
      </c>
      <c r="E10" s="46" t="inlineStr">
        <is>
          <t>Usage Reconciliation Engine: compares product usage logs to billing engine configuration; identifies tier misalignments and missing overage triggers</t>
        </is>
      </c>
      <c r="F10" s="50" t="inlineStr">
        <is>
          <t>Order → Billing
(Usage-based)</t>
        </is>
      </c>
      <c r="G10" s="36" t="inlineStr">
        <is>
          <t>HIGH — usage data lives in network systems, not ERP</t>
        </is>
      </c>
    </row>
    <row r="11" ht="62" customHeight="1">
      <c r="A11" s="43" t="inlineStr">
        <is>
          <t>Automotive &amp;
Fleet</t>
        </is>
      </c>
      <c r="B11" s="24" t="inlineStr">
        <is>
          <t>Fleet management company: service fees not applied to invoices, contracted add-on and penalty fees not enforced (e.g. lost card reissuance, early lease termination fees), state sales tax refunds not collected.</t>
        </is>
      </c>
      <c r="C11" s="44" t="inlineStr">
        <is>
          <t>Multiple fee types across complex contracts; no automated enforcement of contract terms at billing</t>
        </is>
      </c>
      <c r="D11" s="45" t="inlineStr">
        <is>
          <t>2–5% of contract value
(BCG project data)</t>
        </is>
      </c>
      <c r="E11" s="46" t="inlineStr">
        <is>
          <t>Contract-to-Billing Reconciliation + Discount Governance: audits all fee types against contract terms; creates remediation task for each unenforced clause</t>
        </is>
      </c>
      <c r="F11" s="47" t="inlineStr">
        <is>
          <t>Contract → Order
Order → Billing</t>
        </is>
      </c>
      <c r="G11" s="36" t="inlineStr">
        <is>
          <t>HIGH — fleet contracts often paper or legacy system</t>
        </is>
      </c>
    </row>
    <row r="12" ht="62" customHeight="1">
      <c r="A12" s="48" t="inlineStr">
        <is>
          <t>Financial Services
&amp; Insurance</t>
        </is>
      </c>
      <c r="B12" s="18" t="inlineStr">
        <is>
          <t>Incorrect fee schedules applied to accounts. Advisory fee calculations based on stale AUM data. Performance fee thresholds not enforced. Regulatory fee changes not propagated to billing.</t>
        </is>
      </c>
      <c r="C12" s="49" t="inlineStr">
        <is>
          <t>Fee calculation complexity; regulatory change management gaps; stale reference data</t>
        </is>
      </c>
      <c r="D12" s="45" t="inlineStr">
        <is>
          <t>0.5–2% of fee revenue
(regulated, lower end)</t>
        </is>
      </c>
      <c r="E12" s="46" t="inlineStr">
        <is>
          <t>MDM Conflict Detection: monitors fee schedule changes vs billing configuration; flags any rate discrepancy before invoice cycle</t>
        </is>
      </c>
      <c r="F12" s="50" t="inlineStr">
        <is>
          <t>Contract → Billing
Billing → RevRec</t>
        </is>
      </c>
      <c r="G12" s="51" t="inlineStr">
        <is>
          <t>MEDIUM — often well-audited but migration creates gaps</t>
        </is>
      </c>
    </row>
    <row r="13" ht="62" customHeight="1">
      <c r="A13" s="43" t="inlineStr">
        <is>
          <t>Travel &amp;
Hospitality</t>
        </is>
      </c>
      <c r="B13" s="24" t="inlineStr">
        <is>
          <t>Airline could not distinguish duplicate bookings from same origin/destination via different third-party vendors. Agents had discretion to double-book. Redundant bookings led to lost revenue from unsold seats.</t>
        </is>
      </c>
      <c r="C13" s="44" t="inlineStr">
        <is>
          <t>No cross-system duplicate detection; agent discretion without validation controls</t>
        </is>
      </c>
      <c r="D13" s="45" t="inlineStr">
        <is>
          <t>1–3% of booking value
(BCG project data)</t>
        </is>
      </c>
      <c r="E13" s="46" t="inlineStr">
        <is>
          <t>Entity Resolution Engine: cross-system deduplication detects duplicate bookings/accounts before billing runs</t>
        </is>
      </c>
      <c r="F13" s="47" t="inlineStr">
        <is>
          <t>Order → Billing</t>
        </is>
      </c>
      <c r="G13" s="51" t="inlineStr">
        <is>
          <t>LOW-MEDIUM — modern systems better; legacy migrations high risk</t>
        </is>
      </c>
    </row>
    <row r="14" ht="42" customHeight="1">
      <c r="A14" s="52" t="inlineStr">
        <is>
          <t>MGI RESEARCH KEY FINDING (Jan 2026): Revenue leakage is industry-agnostic — it is a pervasive control deficiency affecting the majority of companies of all sizes across all industries. BCG confirms: 45% of 2,000+ business leaders across sectors say leakage is systemic. HandoverOS's Q2R-specific resolution engines address the root causes identified in both the BCG and MGI primary research.</t>
        </is>
      </c>
    </row>
  </sheetData>
  <mergeCells count="3">
    <mergeCell ref="A14:G14"/>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22" customWidth="1" min="6" max="6"/>
    <col width="22" customWidth="1" min="7" max="7"/>
    <col width="18" customWidth="1" min="8" max="8"/>
  </cols>
  <sheetData>
    <row r="1" ht="32" customHeight="1">
      <c r="A1" s="85" t="inlineStr">
        <is>
          <t>HandoverOS  |  Revenue Leakage ROI Calculator  —  Updated April 2026</t>
        </is>
      </c>
      <c r="B1" s="8" t="n"/>
      <c r="C1" s="8" t="n"/>
      <c r="D1" s="8" t="n"/>
      <c r="E1" s="8" t="n"/>
      <c r="F1" s="8" t="n"/>
      <c r="G1" s="8" t="n"/>
      <c r="H1" s="9" t="n"/>
    </row>
    <row r="2" ht="28" customHeight="1">
      <c r="A2" s="53" t="inlineStr">
        <is>
          <t>Enter your ARR in column B (blue cells). EV multiple updated to 5x (Windsor Drake Feb 2026 private mid-market median).  BCG benchmark: 3–5% recovery as standalone program. MGI benchmark: 2–4% recovery.</t>
        </is>
      </c>
    </row>
    <row r="3" ht="8" customHeight="1"/>
    <row r="4" ht="36" customHeight="1">
      <c r="A4" s="10" t="inlineStr">
        <is>
          <t>Scenario</t>
        </is>
      </c>
      <c r="B4" s="10" t="inlineStr">
        <is>
          <t>Your ARR
(Blue = edit)</t>
        </is>
      </c>
      <c r="C4" s="10" t="inlineStr">
        <is>
          <t>1% Leak</t>
        </is>
      </c>
      <c r="D4" s="10" t="inlineStr">
        <is>
          <t>3% Leak</t>
        </is>
      </c>
      <c r="E4" s="10" t="inlineStr">
        <is>
          <t>5% Leak</t>
        </is>
      </c>
      <c r="F4" s="10" t="inlineStr">
        <is>
          <t>3-Yr Cumulative
@ 3% (Without HOS)</t>
        </is>
      </c>
      <c r="G4" s="10" t="inlineStr">
        <is>
          <t>With HandoverOS
(85% Recovery)</t>
        </is>
      </c>
      <c r="H4" s="10" t="inlineStr">
        <is>
          <t>Net 3-Yr
Recovery</t>
        </is>
      </c>
    </row>
    <row r="5" ht="22" customHeight="1">
      <c r="A5" s="43" t="inlineStr">
        <is>
          <t>S1: Price Escalation Not Applied</t>
        </is>
      </c>
      <c r="B5" s="54" t="n">
        <v>50000000</v>
      </c>
      <c r="C5" s="55">
        <f>0.01*B5</f>
        <v/>
      </c>
      <c r="D5" s="56">
        <f>0.03*B5</f>
        <v/>
      </c>
      <c r="E5" s="57">
        <f>0.05*B5</f>
        <v/>
      </c>
      <c r="F5" s="58">
        <f>0.03*B5*3</f>
        <v/>
      </c>
      <c r="G5" s="59">
        <f>0.03*B5*3*0.85</f>
        <v/>
      </c>
      <c r="H5" s="60">
        <f>0.03*B5*3*0.85</f>
        <v/>
      </c>
    </row>
    <row r="6" ht="22" customHeight="1">
      <c r="A6" s="48" t="inlineStr">
        <is>
          <t>S2: Usage Tier Mismatch</t>
        </is>
      </c>
      <c r="B6" s="54" t="n">
        <v>50000000</v>
      </c>
      <c r="C6" s="55">
        <f>0.01*B6</f>
        <v/>
      </c>
      <c r="D6" s="56">
        <f>0.03*B6</f>
        <v/>
      </c>
      <c r="E6" s="57">
        <f>0.05*B6</f>
        <v/>
      </c>
      <c r="F6" s="58">
        <f>0.03*B6*3</f>
        <v/>
      </c>
      <c r="G6" s="59">
        <f>0.03*B6*3*0.85</f>
        <v/>
      </c>
      <c r="H6" s="60">
        <f>0.03*B6*3*0.85</f>
        <v/>
      </c>
    </row>
    <row r="7" ht="22" customHeight="1">
      <c r="A7" s="43" t="inlineStr">
        <is>
          <t>S3: Amendment-Billing Divergence</t>
        </is>
      </c>
      <c r="B7" s="54" t="n">
        <v>50000000</v>
      </c>
      <c r="C7" s="55">
        <f>0.01*B7</f>
        <v/>
      </c>
      <c r="D7" s="56">
        <f>0.03*B7</f>
        <v/>
      </c>
      <c r="E7" s="57">
        <f>0.05*B7</f>
        <v/>
      </c>
      <c r="F7" s="58">
        <f>0.03*B7*3</f>
        <v/>
      </c>
      <c r="G7" s="59">
        <f>0.03*B7*3*0.85</f>
        <v/>
      </c>
      <c r="H7" s="60">
        <f>0.03*B7*3*0.85</f>
        <v/>
      </c>
    </row>
    <row r="8" ht="22" customHeight="1">
      <c r="A8" s="48" t="inlineStr">
        <is>
          <t>S4: Discount Made Permanent</t>
        </is>
      </c>
      <c r="B8" s="54" t="n">
        <v>50000000</v>
      </c>
      <c r="C8" s="55">
        <f>0.01*B8</f>
        <v/>
      </c>
      <c r="D8" s="56">
        <f>0.03*B8</f>
        <v/>
      </c>
      <c r="E8" s="57">
        <f>0.05*B8</f>
        <v/>
      </c>
      <c r="F8" s="58">
        <f>0.03*B8*3</f>
        <v/>
      </c>
      <c r="G8" s="59">
        <f>0.03*B8*3*0.85</f>
        <v/>
      </c>
      <c r="H8" s="60">
        <f>0.03*B8*3*0.85</f>
        <v/>
      </c>
    </row>
    <row r="9" ht="22" customHeight="1">
      <c r="A9" s="43" t="inlineStr">
        <is>
          <t>S5: Migration Compounding</t>
        </is>
      </c>
      <c r="B9" s="54" t="n">
        <v>50000000</v>
      </c>
      <c r="C9" s="55">
        <f>0.01*B9</f>
        <v/>
      </c>
      <c r="D9" s="56">
        <f>0.03*B9</f>
        <v/>
      </c>
      <c r="E9" s="57">
        <f>0.05*B9</f>
        <v/>
      </c>
      <c r="F9" s="58">
        <f>0.03*B9*3</f>
        <v/>
      </c>
      <c r="G9" s="59">
        <f>0.03*B9*3*0.85</f>
        <v/>
      </c>
      <c r="H9" s="60">
        <f>0.03*B9*3*0.85</f>
        <v/>
      </c>
    </row>
    <row r="10" ht="28" customHeight="1">
      <c r="A10" s="61" t="inlineStr">
        <is>
          <t>TOTAL PORTFOLIO EXPOSURE</t>
        </is>
      </c>
      <c r="B10" s="62">
        <f>SUM(B5:B9)</f>
        <v/>
      </c>
      <c r="C10" s="62">
        <f>SUM(C5:C9)</f>
        <v/>
      </c>
      <c r="D10" s="62">
        <f>SUM(D5:D9)</f>
        <v/>
      </c>
      <c r="E10" s="62">
        <f>SUM(E5:E9)</f>
        <v/>
      </c>
      <c r="F10" s="62">
        <f>SUM(F5:F9)</f>
        <v/>
      </c>
      <c r="G10" s="62">
        <f>SUM(G5:G9)</f>
        <v/>
      </c>
      <c r="H10" s="62">
        <f>SUM(H5:H9)</f>
        <v/>
      </c>
    </row>
    <row r="11" ht="8" customHeight="1"/>
    <row r="12" ht="24" customHeight="1">
      <c r="A12" s="63" t="inlineStr">
        <is>
          <t>ROI SUMMARY  (BCG 3–5% recovery benchmark  |  MGI 2–4% benchmark  |  5x EV multiple)</t>
        </is>
      </c>
      <c r="B12" s="8" t="n"/>
      <c r="C12" s="8" t="n"/>
      <c r="D12" s="8" t="n"/>
      <c r="E12" s="8" t="n"/>
      <c r="F12" s="8" t="n"/>
      <c r="G12" s="8" t="n"/>
      <c r="H12" s="9" t="n"/>
    </row>
    <row r="13" ht="24" customHeight="1">
      <c r="A13" s="87" t="inlineStr">
        <is>
          <t>Total 3-Year Leakage Without HandoverOS</t>
        </is>
      </c>
      <c r="B13" s="65">
        <f>F10</f>
        <v/>
      </c>
      <c r="E13" s="66" t="n"/>
      <c r="F13" s="66" t="n"/>
      <c r="G13" s="66" t="n"/>
      <c r="H13" s="66" t="n"/>
    </row>
    <row r="14" ht="24" customHeight="1">
      <c r="A14" s="87" t="inlineStr">
        <is>
          <t>Estimated Recovery (85% of 3-yr leakage)</t>
        </is>
      </c>
      <c r="B14" s="67">
        <f>G10</f>
        <v/>
      </c>
      <c r="E14" s="66" t="n"/>
      <c r="F14" s="66" t="n"/>
      <c r="G14" s="66" t="n"/>
      <c r="H14" s="66" t="n"/>
    </row>
    <row r="15" ht="24" customHeight="1">
      <c r="A15" s="87" t="inlineStr">
        <is>
          <t>HandoverOS Estimated Platform Cost (3 Yrs)</t>
        </is>
      </c>
      <c r="B15" s="68" t="inlineStr">
        <is>
          <t>300000</t>
        </is>
      </c>
      <c r="E15" s="66" t="n"/>
      <c r="F15" s="66" t="n"/>
      <c r="G15" s="66" t="n"/>
      <c r="H15" s="66" t="n"/>
    </row>
    <row r="16" ht="24" customHeight="1">
      <c r="A16" s="87" t="inlineStr">
        <is>
          <t>Net ROI from Leakage Recovery Alone</t>
        </is>
      </c>
      <c r="B16" s="69">
        <f>G10-300000</f>
        <v/>
      </c>
      <c r="E16" s="66" t="n"/>
      <c r="F16" s="66" t="n"/>
      <c r="G16" s="66" t="n"/>
      <c r="H16" s="66" t="n"/>
    </row>
    <row r="17" ht="24" customHeight="1">
      <c r="A17" s="87" t="inlineStr">
        <is>
          <t>Valuation Impact at 5x EV (Windsor Drake 2026)</t>
        </is>
      </c>
      <c r="B17" s="70">
        <f>(G10/3)*5</f>
        <v/>
      </c>
      <c r="E17" s="66" t="n"/>
      <c r="F17" s="66" t="n"/>
      <c r="G17" s="66" t="n"/>
      <c r="H17" s="66" t="n"/>
    </row>
    <row r="18" ht="8" customHeight="1"/>
    <row r="19" ht="42" customHeight="1">
      <c r="A19" s="25" t="inlineStr">
        <is>
          <t>VERIFIED SOURCES: BCG Revenue Assurance Survey 2020 — 45% systemic, 3–5% recovery (standalone), 10% maximum recovery potential  |  MGI Research Revenue Leakage Series Jan 2026 — 2–4% recovery via assurance program  |  EY TFO Survey Nov 2025 — 51% early data maturity, 80% data not AI-ready (1,600 CFOs)  |  Windsor Drake SaaS Valuation Report Feb 2026 — 5x private mid-market EV/Revenue median  |  Ibbaka 2024 (N=136) — 70% of B2B SaaS contracts have no price increase provision</t>
        </is>
      </c>
    </row>
  </sheetData>
  <mergeCells count="9">
    <mergeCell ref="A12:H12"/>
    <mergeCell ref="B14:D14"/>
    <mergeCell ref="A2:H2"/>
    <mergeCell ref="B17:D17"/>
    <mergeCell ref="B13:D13"/>
    <mergeCell ref="A19:H19"/>
    <mergeCell ref="A1:H1"/>
    <mergeCell ref="B15:D15"/>
    <mergeCell ref="B16:D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
  <sheetViews>
    <sheetView showGridLines="0"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22" customWidth="1" min="7" max="7"/>
    <col width="22" customWidth="1" min="8" max="8"/>
    <col width="22" customWidth="1" min="9" max="9"/>
  </cols>
  <sheetData>
    <row r="1" ht="34" customHeight="1">
      <c r="A1" s="71" t="inlineStr">
        <is>
          <t>HandoverOS  |  Decision Risk Framework: Migration vs. AI-First vs. Clean-First</t>
        </is>
      </c>
    </row>
    <row r="2" ht="20" customHeight="1">
      <c r="A2" s="72" t="inlineStr">
        <is>
          <t>Three strategic decisions — each with materially different financial risk profiles. Data based on: MGI Research Jan 2026 · KPMG Material Weakness Study 2025 · Axial Dead Deal Report Jan 2026 · Palmrose et al. (2004) · Cleary Gottlieb Jan 2026.</t>
        </is>
      </c>
    </row>
    <row r="3" ht="8" customHeight="1"/>
    <row r="4" ht="22" customHeight="1">
      <c r="A4" s="73" t="inlineStr">
        <is>
          <t xml:space="preserve">  DECISION 1: System Migration  —  Moving to New Billing / ERP / RevRec Platform</t>
        </is>
      </c>
    </row>
    <row r="5" ht="28" customHeight="1">
      <c r="A5" s="10" t="inlineStr">
        <is>
          <t>Risk Factor</t>
        </is>
      </c>
      <c r="B5" s="10" t="inlineStr">
        <is>
          <t>Without Data Cleanup</t>
        </is>
      </c>
      <c r="C5" s="10" t="inlineStr">
        <is>
          <t>Risk Level</t>
        </is>
      </c>
      <c r="D5" s="10" t="inlineStr">
        <is>
          <t>Financial Exposure</t>
        </is>
      </c>
      <c r="E5" s="10" t="inlineStr">
        <is>
          <t>Regulatory Trigger</t>
        </is>
      </c>
      <c r="F5" s="10" t="inlineStr">
        <is>
          <t>M&amp;A Impact</t>
        </is>
      </c>
      <c r="G5" s="10" t="inlineStr">
        <is>
          <t>With HandoverOS</t>
        </is>
      </c>
      <c r="H5" s="10" t="inlineStr">
        <is>
          <t>Risk Level</t>
        </is>
      </c>
      <c r="I5" s="10" t="inlineStr">
        <is>
          <t>Source</t>
        </is>
      </c>
    </row>
    <row r="6" ht="58" customHeight="1">
      <c r="A6" s="32" t="inlineStr">
        <is>
          <t>Historical contract data
loaded with errors</t>
        </is>
      </c>
      <c r="B6" s="38" t="inlineStr">
        <is>
          <t>All latent leakage scenarios become structural in new system of record. Billing errors scale immediately.</t>
        </is>
      </c>
      <c r="C6" s="74" t="inlineStr">
        <is>
          <t>CRITICAL</t>
        </is>
      </c>
      <c r="D6" s="45" t="inlineStr">
        <is>
          <t>3–5% of ARR/yr ongoing
(MGI Research Jan 2026)</t>
        </is>
      </c>
      <c r="E6" s="75" t="inlineStr">
        <is>
          <t>If &gt;5% revenue or &gt;10% EBITDA: ASC 606 violation + SOX 404 trigger
(MGI Research Jan 2026)</t>
        </is>
      </c>
      <c r="F6" s="76" t="inlineStr">
        <is>
          <t>QoE restatement in due diligence reduces deal price or kills LOI
(Axial 2025: 21.3% of failed deals)</t>
        </is>
      </c>
      <c r="G6" s="46" t="inlineStr">
        <is>
          <t>Pre-migration audit surfaces all conflicts. Golden record loaded clean. Leakage contained at go-live.</t>
        </is>
      </c>
      <c r="H6" s="77" t="inlineStr">
        <is>
          <t>LOW</t>
        </is>
      </c>
      <c r="I6" s="78" t="inlineStr">
        <is>
          <t>MGI Jan 2026
Axial Jan 2026</t>
        </is>
      </c>
    </row>
    <row r="7" ht="58" customHeight="1">
      <c r="A7" s="28" t="inlineStr">
        <is>
          <t>Price escalation clauses
not extracted pre-migration</t>
        </is>
      </c>
      <c r="B7" s="38" t="inlineStr">
        <is>
          <t>New billing system configured at stale rates. 42% of SaaS companies have active billing mismatches. Compounds annually.</t>
        </is>
      </c>
      <c r="C7" s="79" t="inlineStr">
        <is>
          <t>HIGH</t>
        </is>
      </c>
      <c r="D7" s="45" t="inlineStr">
        <is>
          <t>5% ARR underbilled/yr
per affected account
(Ibbaka 2024: 70% B2B
contracts have no price
increase clause)</t>
        </is>
      </c>
      <c r="E7" s="75" t="inlineStr">
        <is>
          <t>Systematic underbilling creates unbilled revenue pattern — auditor flag at year-end</t>
        </is>
      </c>
      <c r="F7" s="76" t="inlineStr">
        <is>
          <t>Discovery during QoE forces revenue normalization. EBITDA restatement.</t>
        </is>
      </c>
      <c r="G7" s="46" t="inlineStr">
        <is>
          <t>Claude extracts escalation terms from contract PDFs. Validates against billing config pre-migration.</t>
        </is>
      </c>
      <c r="H7" s="77" t="inlineStr">
        <is>
          <t>LOW</t>
        </is>
      </c>
      <c r="I7" s="80" t="inlineStr">
        <is>
          <t>Ibbaka 2024
BCG 2020</t>
        </is>
      </c>
    </row>
    <row r="8" ht="58" customHeight="1">
      <c r="A8" s="32" t="inlineStr">
        <is>
          <t>Usage-based pricing tiers
not mapped correctly</t>
        </is>
      </c>
      <c r="B8" s="38" t="inlineStr">
        <is>
          <t>Billing engine calculates at wrong tier boundary. Invisible in aggregate reporting. Persists through migration undetected.</t>
        </is>
      </c>
      <c r="C8" s="79" t="inlineStr">
        <is>
          <t>HIGH</t>
        </is>
      </c>
      <c r="D8" s="45" t="inlineStr">
        <is>
          <t>15–30% of usage
revenue at risk
(Lago 2025)</t>
        </is>
      </c>
      <c r="E8" s="75" t="inlineStr">
        <is>
          <t>Systematic underbilling pattern triggers audit scrutiny on revenue controls</t>
        </is>
      </c>
      <c r="F8" s="76" t="inlineStr">
        <is>
          <t>Buyer discovers pricing model errors in revenue quality review. Price adjustment demanded.</t>
        </is>
      </c>
      <c r="G8" s="46" t="inlineStr">
        <is>
          <t>Usage Reconciliation Engine maps contract tier chart to billing config before migration runs.</t>
        </is>
      </c>
      <c r="H8" s="81" t="inlineStr">
        <is>
          <t>MEDIUM</t>
        </is>
      </c>
      <c r="I8" s="78" t="inlineStr">
        <is>
          <t>Lago Feb 2026</t>
        </is>
      </c>
    </row>
    <row r="9" ht="58" customHeight="1">
      <c r="A9" s="28" t="inlineStr">
        <is>
          <t>Amendments without
contract backing loaded</t>
        </is>
      </c>
      <c r="B9" s="38" t="inlineStr">
        <is>
          <t>Three-way conflict (contract / billing / CRM) embedded in new system. RevRec computes off wrong number.</t>
        </is>
      </c>
      <c r="C9" s="74" t="inlineStr">
        <is>
          <t>CRITICAL</t>
        </is>
      </c>
      <c r="D9" s="45" t="inlineStr">
        <is>
          <t>Up to 15% ARR misrepresented
per affected contract
(BCG 2020 project data)</t>
        </is>
      </c>
      <c r="E9" s="75" t="inlineStr">
        <is>
          <t>Deferred revenue overstated — material misstatement if &gt;5% revenue threshold
(MGI Jan 2026 / SEC SAB 99)</t>
        </is>
      </c>
      <c r="F9" s="76" t="inlineStr">
        <is>
          <t>Undocumented commercial modifications discovered in due diligence. Legal risk + price reduction.</t>
        </is>
      </c>
      <c r="G9" s="46" t="inlineStr">
        <is>
          <t>Amendment-Billing Audit flags every billing change with no signed document before migration.</t>
        </is>
      </c>
      <c r="H9" s="77" t="inlineStr">
        <is>
          <t>LOW</t>
        </is>
      </c>
      <c r="I9" s="80" t="inlineStr">
        <is>
          <t>BCG 2020
MGI Jan 2026</t>
        </is>
      </c>
    </row>
    <row r="10" ht="58" customHeight="1">
      <c r="A10" s="32" t="inlineStr">
        <is>
          <t>Entity resolution failures
(same account in 3 systems)</t>
        </is>
      </c>
      <c r="B10" s="38" t="inlineStr">
        <is>
          <t>Duplicate accounts load as separate entities. Revenue schedules split or duplicated. MDM conflicts multiply.</t>
        </is>
      </c>
      <c r="C10" s="79" t="inlineStr">
        <is>
          <t>HIGH</t>
        </is>
      </c>
      <c r="D10" s="45" t="inlineStr">
        <is>
          <t>Data quality cost:
$1M+ remediation
(post-migration avg)</t>
        </is>
      </c>
      <c r="E10" s="75" t="inlineStr">
        <is>
          <t>Duplicate revenue recognition schedules = financial misstatement if uncorrected</t>
        </is>
      </c>
      <c r="F10" s="76" t="inlineStr">
        <is>
          <t>Incomplete customer data picture discovered in due diligence. Raises data integrity concern across all financials.</t>
        </is>
      </c>
      <c r="G10" s="46" t="inlineStr">
        <is>
          <t>Entity Resolution Engine (probabilistic matching) deduplicates before migration. Single golden record per entity.</t>
        </is>
      </c>
      <c r="H10" s="77" t="inlineStr">
        <is>
          <t>LOW</t>
        </is>
      </c>
      <c r="I10" s="78" t="inlineStr">
        <is>
          <t>MGI Research
Dirty Data 2024</t>
        </is>
      </c>
    </row>
    <row r="11" ht="8" customHeight="1"/>
    <row r="12" ht="22" customHeight="1">
      <c r="A12" s="82" t="inlineStr">
        <is>
          <t xml:space="preserve">  DECISION 2: Due Diligence Preparation  —  IPO, M&amp;A Sale, or PE Fundraise</t>
        </is>
      </c>
    </row>
    <row r="13" ht="28" customHeight="1">
      <c r="A13" s="10" t="inlineStr">
        <is>
          <t>Risk Factor</t>
        </is>
      </c>
      <c r="B13" s="10" t="inlineStr">
        <is>
          <t>Without Data Cleanup</t>
        </is>
      </c>
      <c r="C13" s="10" t="inlineStr">
        <is>
          <t>Risk Level</t>
        </is>
      </c>
      <c r="D13" s="10" t="inlineStr">
        <is>
          <t>Financial Exposure</t>
        </is>
      </c>
      <c r="E13" s="10" t="inlineStr">
        <is>
          <t>Regulatory Trigger</t>
        </is>
      </c>
      <c r="F13" s="10" t="inlineStr">
        <is>
          <t>Deal Impact</t>
        </is>
      </c>
      <c r="G13" s="10" t="inlineStr">
        <is>
          <t>With HandoverOS</t>
        </is>
      </c>
      <c r="H13" s="10" t="inlineStr">
        <is>
          <t>Risk Level</t>
        </is>
      </c>
      <c r="I13" s="10" t="inlineStr">
        <is>
          <t>Source</t>
        </is>
      </c>
    </row>
    <row r="14" ht="58" customHeight="1">
      <c r="A14" s="32" t="inlineStr">
        <is>
          <t>Contract-to-billing
divergence discovered in QoE</t>
        </is>
      </c>
      <c r="B14" s="38" t="inlineStr">
        <is>
          <t>Buyer's QoE team finds billed amounts ≠ contracted amounts. EBITDA normalized downward. Deal price reduced.</t>
        </is>
      </c>
      <c r="C14" s="74" t="inlineStr">
        <is>
          <t>CRITICAL</t>
        </is>
      </c>
      <c r="D14" s="45" t="inlineStr">
        <is>
          <t>QoE EBITDA discrepancy
accounted for 21.3% of
broken LOIs in 2025
(Axial Jan 2026)</t>
        </is>
      </c>
      <c r="E14" s="75" t="inlineStr">
        <is>
          <t>Post-close: misrepresented revenue = potential securities fraud claim if material</t>
        </is>
      </c>
      <c r="F14" s="76" t="inlineStr">
        <is>
          <t>Deal price reduced by quantum of discrepancy. Worse: LOI terminates — 21.3% of broken deals in 2025.</t>
        </is>
      </c>
      <c r="G14" s="46" t="inlineStr">
        <is>
          <t>Contract-to-Billing Reconciliation Engine provides clean audit trail before data room opens.</t>
        </is>
      </c>
      <c r="H14" s="77" t="inlineStr">
        <is>
          <t>LOW</t>
        </is>
      </c>
      <c r="I14" s="78" t="inlineStr">
        <is>
          <t>Axial Dead Deal
Report Jan 2026</t>
        </is>
      </c>
    </row>
    <row r="15" ht="58" customHeight="1">
      <c r="A15" s="28" t="inlineStr">
        <is>
          <t>IPO: material weakness in
revenue recognition controls</t>
        </is>
      </c>
      <c r="B15" s="38" t="inlineStr">
        <is>
          <t>44% of 2023 IPOs disclosed material weaknesses. Top cause: lack of knowledge for complex transaction accounting.</t>
        </is>
      </c>
      <c r="C15" s="74" t="inlineStr">
        <is>
          <t>CRITICAL</t>
        </is>
      </c>
      <c r="D15" s="45" t="inlineStr">
        <is>
          <t>IPO delay or withdrawn
offering. Valuation discount.
Remediation cost $500K–$2M+</t>
        </is>
      </c>
      <c r="E15" s="75" t="inlineStr">
        <is>
          <t>SEC scrutinizes revenue recognition in S-1. Material weakness requires disclosure and remediation plan.</t>
        </is>
      </c>
      <c r="F15" s="76" t="inlineStr">
        <is>
          <t>IPO window missed. Valuation suppressed. Competitors advance. KPMG: 44% of 2021–2023 IPOs affected.</t>
        </is>
      </c>
      <c r="G15" s="46" t="inlineStr">
        <is>
          <t>Pre-IPO data validation + SOX-ready audit trail on all revenue schedules. Resolves MW before S-1 filing.</t>
        </is>
      </c>
      <c r="H15" s="77" t="inlineStr">
        <is>
          <t>LOW</t>
        </is>
      </c>
      <c r="I15" s="80" t="inlineStr">
        <is>
          <t>KPMG Material
Weakness Study 2025</t>
        </is>
      </c>
    </row>
    <row r="16" ht="58" customHeight="1">
      <c r="A16" s="32" t="inlineStr">
        <is>
          <t>Non-QoE diligence findings:
contract issues</t>
        </is>
      </c>
      <c r="B16" s="38" t="inlineStr">
        <is>
          <t>Contract-billing mismatches, undocumented amendments, unenforced discount terms surface in legal review.</t>
        </is>
      </c>
      <c r="C16" s="79" t="inlineStr">
        <is>
          <t>HIGH</t>
        </is>
      </c>
      <c r="D16" s="45" t="inlineStr">
        <is>
          <t>Non-QoE findings caused
25.3% of broken LOIs in 2025
— #1 cause of deal failure
(Axial Jan 2026)</t>
        </is>
      </c>
      <c r="E16" s="75" t="inlineStr">
        <is>
          <t>Undocumented billing amendments create legal exposure. Buyer demands indemnity or walks.</t>
        </is>
      </c>
      <c r="F16" s="76" t="inlineStr">
        <is>
          <t>Seller forced to choose: renegotiate price, provide indemnity, or lose deal. Average months of sunk cost.</t>
        </is>
      </c>
      <c r="G16" s="46" t="inlineStr">
        <is>
          <t>Amendment-Billing Audit and Discount Governance produce clean documentation before data room.</t>
        </is>
      </c>
      <c r="H16" s="77" t="inlineStr">
        <is>
          <t>LOW</t>
        </is>
      </c>
      <c r="I16" s="78" t="inlineStr">
        <is>
          <t>Axial Dead Deal
Report Jan 2026</t>
        </is>
      </c>
    </row>
    <row r="17" ht="58" customHeight="1">
      <c r="A17" s="28" t="inlineStr">
        <is>
          <t>Revenue restatement
discovered post-close</t>
        </is>
      </c>
      <c r="B17" s="38" t="inlineStr">
        <is>
          <t>Buyer's first audit finds material revenue recognition errors. Restatement required. Litigation follows.</t>
        </is>
      </c>
      <c r="C17" s="74" t="inlineStr">
        <is>
          <t>CRITICAL</t>
        </is>
      </c>
      <c r="D17" s="45" t="inlineStr">
        <is>
          <t>Average −9% stock price
in 2-day announcement
window (Palmrose 2004).
RevRec specific: −10–15%
(Audit Analytics)</t>
        </is>
      </c>
      <c r="E17" s="75" t="inlineStr">
        <is>
          <t>Revenue restatement triggers SEC review. Potential enforcement if accompanied by large stock price drop (Cleary Gottlieb Jan 2026).</t>
        </is>
      </c>
      <c r="F17" s="76" t="inlineStr">
        <is>
          <t>Earn-out payments disputed. Representations and warranties claims filed. Legal costs $30M+ (Hertz precedent).</t>
        </is>
      </c>
      <c r="G17" s="46" t="inlineStr">
        <is>
          <t>All revenue recognition inputs validated before close. Provides audit-ready data lineage for buyer review.</t>
        </is>
      </c>
      <c r="H17" s="77" t="inlineStr">
        <is>
          <t>LOW</t>
        </is>
      </c>
      <c r="I17" s="80" t="inlineStr">
        <is>
          <t>Palmrose et al. 2004
Audit Analytics
Cleary Gottlieb Jan 2026</t>
        </is>
      </c>
    </row>
    <row r="18" ht="58" customHeight="1">
      <c r="A18" s="32" t="inlineStr">
        <is>
          <t>PE fundraise: LP due
diligence on data quality</t>
        </is>
      </c>
      <c r="B18" s="38" t="inlineStr">
        <is>
          <t>LPs request revenue waterfall and contract-level detail. Fragmented data across systems creates red flags on data maturity.</t>
        </is>
      </c>
      <c r="C18" s="81" t="inlineStr">
        <is>
          <t>MEDIUM</t>
        </is>
      </c>
      <c r="D18" s="45" t="inlineStr">
        <is>
          <t>EY 2025: 51% of finance
functions in early data
maturity — recognized LP
risk factor</t>
        </is>
      </c>
      <c r="E18" s="75" t="inlineStr">
        <is>
          <t>No direct regulatory trigger but LP confidence eroded. Fund close delayed or terms worsened.</t>
        </is>
      </c>
      <c r="F18" s="76" t="inlineStr">
        <is>
          <t>LPs discount valuation or require escrow for data quality risk. Fundraise delayed 3–6 months.</t>
        </is>
      </c>
      <c r="G18" s="46" t="inlineStr">
        <is>
          <t>Clean MDM golden record with full contract-to-revenue lineage. LP-ready data room in days not months.</t>
        </is>
      </c>
      <c r="H18" s="77" t="inlineStr">
        <is>
          <t>LOW</t>
        </is>
      </c>
      <c r="I18" s="78" t="inlineStr">
        <is>
          <t>EY TFO Survey
Nov 2025</t>
        </is>
      </c>
    </row>
    <row r="19" ht="8" customHeight="1"/>
    <row r="20" ht="22" customHeight="1">
      <c r="A20" s="83" t="inlineStr">
        <is>
          <t xml:space="preserve">  DECISION 3: AI-First Build  —  Using AI to Build Renewal / Amendment Logic on Dirty Data</t>
        </is>
      </c>
    </row>
    <row r="21" ht="28" customHeight="1">
      <c r="A21" s="10" t="inlineStr">
        <is>
          <t>Risk Factor</t>
        </is>
      </c>
      <c r="B21" s="10" t="inlineStr">
        <is>
          <t>AI on Dirty Data</t>
        </is>
      </c>
      <c r="C21" s="10" t="inlineStr">
        <is>
          <t>Risk Level</t>
        </is>
      </c>
      <c r="D21" s="10" t="inlineStr">
        <is>
          <t>Financial Exposure</t>
        </is>
      </c>
      <c r="E21" s="10" t="inlineStr">
        <is>
          <t>Output Quality</t>
        </is>
      </c>
      <c r="F21" s="10" t="inlineStr">
        <is>
          <t>Downstream Impact</t>
        </is>
      </c>
      <c r="G21" s="10" t="inlineStr">
        <is>
          <t>Clean Data First + AI</t>
        </is>
      </c>
      <c r="H21" s="10" t="inlineStr">
        <is>
          <t>Risk Level</t>
        </is>
      </c>
      <c r="I21" s="10" t="inlineStr">
        <is>
          <t>Source</t>
        </is>
      </c>
    </row>
    <row r="22" ht="64" customHeight="1">
      <c r="A22" s="32" t="inlineStr">
        <is>
          <t>Renewal logic built on
stale contracted rates</t>
        </is>
      </c>
      <c r="B22" s="38" t="inlineStr">
        <is>
          <t>AI learns pricing patterns from historical billing data that already contains undetected escalation errors. Renewal recommendations perpetuate wrong rates.</t>
        </is>
      </c>
      <c r="C22" s="74" t="inlineStr">
        <is>
          <t>CRITICAL</t>
        </is>
      </c>
      <c r="D22" s="45" t="inlineStr">
        <is>
          <t>Compounds annually.
$50M ARR company:
$1.5M–$2.5M/yr in
perpetual underbilling</t>
        </is>
      </c>
      <c r="E22" s="75" t="inlineStr">
        <is>
          <t>AI produces confident, wrong renewal prices. No error signal — it matches historical pattern.</t>
        </is>
      </c>
      <c r="F22" s="76" t="inlineStr">
        <is>
          <t>Renewal automation at scale locks in systematic underbilling across entire portfolio. Exponentially harder to unwind.</t>
        </is>
      </c>
      <c r="G22" s="46" t="inlineStr">
        <is>
          <t>HandoverOS validates contracted rates first. AI renewal engine trained on clean, conflict-resolved pricing data.</t>
        </is>
      </c>
      <c r="H22" s="77" t="inlineStr">
        <is>
          <t>LOW</t>
        </is>
      </c>
      <c r="I22" s="78" t="inlineStr">
        <is>
          <t>MGI Dirty Data 2024:
0.1% error = 1% leakage.
BCG 2020: 45% systemic</t>
        </is>
      </c>
    </row>
    <row r="23" ht="64" customHeight="1">
      <c r="A23" s="28" t="inlineStr">
        <is>
          <t>Amendment detection AI
trained on incomplete history</t>
        </is>
      </c>
      <c r="B23" s="38" t="inlineStr">
        <is>
          <t>LLM tasked with identifying amendments scans contract PDFs but misses billing-system-only amendments that were never documented. Invisible to any document-based AI.</t>
        </is>
      </c>
      <c r="C23" s="79" t="inlineStr">
        <is>
          <t>HIGH</t>
        </is>
      </c>
      <c r="D23" s="45" t="inlineStr">
        <is>
          <t>BCG 2020: up to 15%
of contract value at risk
from undocumented
billing modifications</t>
        </is>
      </c>
      <c r="E23" s="75" t="inlineStr">
        <is>
          <t>AI confidently reports 'no unresolved amendments' — incorrect. Gap is in billing system not documents.</t>
        </is>
      </c>
      <c r="F23" s="76" t="inlineStr">
        <is>
          <t>AI-generated amendment summary used in due diligence data room. Buyer's QoE team finds billing discrepancy. Deal at risk.</t>
        </is>
      </c>
      <c r="G23" s="46" t="inlineStr">
        <is>
          <t>HandoverOS Amendment-Billing Audit Engine cross-references billing system change history vs. DocuSign amendment history first. Then AI summarizes confirmed, reconciled state.</t>
        </is>
      </c>
      <c r="H23" s="81" t="inlineStr">
        <is>
          <t>MEDIUM</t>
        </is>
      </c>
      <c r="I23" s="80" t="inlineStr">
        <is>
          <t>BCG 2020 project data
Axial Jan 2026</t>
        </is>
      </c>
    </row>
    <row r="24" ht="64" customHeight="1">
      <c r="A24" s="32" t="inlineStr">
        <is>
          <t>RevRec AI automation
on unvalidated performance
obligation classifications</t>
        </is>
      </c>
      <c r="B24" s="38" t="inlineStr">
        <is>
          <t>AI trained to classify performance obligations from contract language — but underlying contract data has fields missing, null start dates, mismatched product codes across systems.</t>
        </is>
      </c>
      <c r="C24" s="74" t="inlineStr">
        <is>
          <t>CRITICAL</t>
        </is>
      </c>
      <c r="D24" s="45" t="inlineStr">
        <is>
          <t>Misclassified obligations =
revenue recognition errors.
If &gt;5% revenue: ASC 606
violation + restatement
(MGI Jan 2026 / SEC SAB 99)</t>
        </is>
      </c>
      <c r="E24" s="75" t="inlineStr">
        <is>
          <t>AI produces plausible-looking revenue schedules that are systematically wrong. Auditors cannot detect without source tracing.</t>
        </is>
      </c>
      <c r="F24" s="76" t="inlineStr">
        <is>
          <t>Restatement required when auditors trace performance obligations to source contracts. −9% stock price impact (Palmrose 2004). SOX 404 material weakness.</t>
        </is>
      </c>
      <c r="G24" s="46" t="inlineStr">
        <is>
          <t>HandoverOS MDM layer validates all obligation classifications, contract start dates, SSP allocations before RevRec AI processes any record.</t>
        </is>
      </c>
      <c r="H24" s="77" t="inlineStr">
        <is>
          <t>LOW</t>
        </is>
      </c>
      <c r="I24" s="78" t="inlineStr">
        <is>
          <t>MGI Jan 2026
Palmrose et al. 2004
KPMG 2025</t>
        </is>
      </c>
    </row>
    <row r="25" ht="64" customHeight="1">
      <c r="A25" s="28" t="inlineStr">
        <is>
          <t>Agentforce / LLM handover
bot on fragmented MDM</t>
        </is>
      </c>
      <c r="B25" s="38" t="inlineStr">
        <is>
          <t>AI bot answers questions about pipeline status, billing, and RevRec — but source data in Salesforce, Zuora, and NetSuite contains unresolved conflicts. Bot synthesizes conflicting answers confidently.</t>
        </is>
      </c>
      <c r="C25" s="79" t="inlineStr">
        <is>
          <t>HIGH</t>
        </is>
      </c>
      <c r="D25" s="45" t="inlineStr">
        <is>
          <t>Operational decisions made
on wrong data. Finance
team loses trust in bot.
ROI of AI investment lost.</t>
        </is>
      </c>
      <c r="E25" s="75" t="inlineStr">
        <is>
          <t>Bot cannot distinguish which system is authoritative. Gives different answers on same question depending on which system it queries first.</t>
        </is>
      </c>
      <c r="F25" s="76" t="inlineStr">
        <is>
          <t>Finance team makes billing decisions on bot recommendations. Errors surface at month-end or audit. Trust in AI investment destroyed.</t>
        </is>
      </c>
      <c r="G25" s="46" t="inlineStr">
        <is>
          <t>HandoverOS MDM golden record is the single data source for all bot queries. Conflict resolution runs before bot ever reads data. Bot answers are authoritative.</t>
        </is>
      </c>
      <c r="H25" s="77" t="inlineStr">
        <is>
          <t>LOW</t>
        </is>
      </c>
      <c r="I25" s="80" t="inlineStr">
        <is>
          <t>EY TFO 2025: 80%
data not AI-ready.
51% early data maturity</t>
        </is>
      </c>
    </row>
    <row r="26" ht="64" customHeight="1">
      <c r="A26" s="32" t="inlineStr">
        <is>
          <t>Discount expiration AI
on contracts without
structured expiration fields</t>
        </is>
      </c>
      <c r="B26" s="38" t="inlineStr">
        <is>
          <t>AI tasked with monitoring discount expiration dates — but 70% of B2B SaaS contracts have no price increase or discount expiration language (Ibbaka 2024). AI cannot find what was never written.</t>
        </is>
      </c>
      <c r="C26" s="81" t="inlineStr">
        <is>
          <t>MEDIUM</t>
        </is>
      </c>
      <c r="D26" s="45" t="inlineStr">
        <is>
          <t>Permanent discounts:
$16K–$22K/yr per $100K ARR
contract. Scales across
entire portfolio.</t>
        </is>
      </c>
      <c r="E26" s="75" t="inlineStr">
        <is>
          <t>AI reports 'no discounts expiring' — technically correct for undocumented discounts. Revenue leaks silently.</t>
        </is>
      </c>
      <c r="F26" s="76" t="inlineStr">
        <is>
          <t>Discount leakage persists post-AI deployment. Business case for AI automation understated. Renewal team still manually tracking discounts in spreadsheets.</t>
        </is>
      </c>
      <c r="G26" s="46" t="inlineStr">
        <is>
          <t>HandoverOS Discount Governance Engine uses billing system amendment history + contract data to surface ALL discounts regardless of documentation quality.</t>
        </is>
      </c>
      <c r="H26" s="77" t="inlineStr">
        <is>
          <t>LOW</t>
        </is>
      </c>
      <c r="I26" s="78" t="inlineStr">
        <is>
          <t>Ibbaka 2024 (N=136):
70% no price clause.
BCG 2020: 64% no tools</t>
        </is>
      </c>
    </row>
    <row r="27" ht="8" customHeight="1"/>
    <row r="28" ht="44" customHeight="1">
      <c r="A28" s="84" t="inlineStr">
        <is>
          <t>CORE FINDING: Attempting migration, due diligence, or AI automation on unvalidated historical data does not save time — it amplifies risk exponentially across all three decision types. HandoverOS data validation is not a pre-work cost. It is risk mitigation for events that average $30M+ in remediation (restatement), deal termination (21.3% of LOIs in 2025), and permanent leakage at scale (3–5% ARR/yr per MGI Research).</t>
        </is>
      </c>
    </row>
  </sheetData>
  <mergeCells count="6">
    <mergeCell ref="A2:I2"/>
    <mergeCell ref="A28:I28"/>
    <mergeCell ref="A1:I1"/>
    <mergeCell ref="A12:I12"/>
    <mergeCell ref="A4:I4"/>
    <mergeCell ref="A20:I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6" customWidth="1" min="6" max="6"/>
  </cols>
  <sheetData>
    <row r="1" ht="32" customHeight="1">
      <c r="A1" s="85" t="inlineStr">
        <is>
          <t>HandoverOS  |  Risk-Adjusted Decision Calculator</t>
        </is>
      </c>
      <c r="B1" s="8" t="n"/>
      <c r="C1" s="8" t="n"/>
      <c r="D1" s="8" t="n"/>
      <c r="E1" s="8" t="n"/>
      <c r="F1" s="9" t="n"/>
    </row>
    <row r="2" ht="24" customHeight="1">
      <c r="A2" s="53" t="inlineStr">
        <is>
          <t>Enter your ARR and deal/IPO size. All risk columns calculate automatically. Blue cells = inputs. Sources: MGI Research Jan 2026 · KPMG 2025 · Axial Jan 2026 · Palmrose et al. 2004.</t>
        </is>
      </c>
    </row>
    <row r="3" ht="8" customHeight="1"/>
    <row r="4" ht="20" customHeight="1">
      <c r="A4" s="86" t="inlineStr">
        <is>
          <t>YOUR INPUTS</t>
        </is>
      </c>
      <c r="B4" s="8" t="n"/>
      <c r="C4" s="8" t="n"/>
      <c r="D4" s="8" t="n"/>
      <c r="E4" s="8" t="n"/>
      <c r="F4" s="9" t="n"/>
    </row>
    <row r="5" ht="22" customHeight="1">
      <c r="A5" s="87" t="inlineStr">
        <is>
          <t>Annual Recurring Revenue (ARR)</t>
        </is>
      </c>
      <c r="B5" s="88" t="n">
        <v>50000000</v>
      </c>
      <c r="C5" s="66" t="n"/>
      <c r="D5" s="66" t="n"/>
      <c r="E5" s="66" t="n"/>
      <c r="F5" s="66" t="n"/>
    </row>
    <row r="6" ht="22" customHeight="1">
      <c r="A6" s="87" t="inlineStr">
        <is>
          <t>Planned Transaction Value (IPO / M&amp;A / PE raise)</t>
        </is>
      </c>
      <c r="B6" s="88" t="n">
        <v>150000000</v>
      </c>
      <c r="C6" s="66" t="n"/>
      <c r="D6" s="66" t="n"/>
      <c r="E6" s="66" t="n"/>
      <c r="F6" s="66" t="n"/>
    </row>
    <row r="7" ht="22" customHeight="1">
      <c r="A7" s="87" t="inlineStr">
        <is>
          <t>Number of Active Customer Contracts</t>
        </is>
      </c>
      <c r="B7" s="89" t="n">
        <v>200</v>
      </c>
      <c r="C7" s="66" t="n"/>
      <c r="D7" s="66" t="n"/>
      <c r="E7" s="66" t="n"/>
      <c r="F7" s="66" t="n"/>
    </row>
    <row r="8" ht="22" customHeight="1">
      <c r="A8" s="87" t="inlineStr">
        <is>
          <t>% of Contracts Estimated With Data Issues</t>
        </is>
      </c>
      <c r="B8" s="90" t="n">
        <v>0.35</v>
      </c>
      <c r="C8" s="66" t="n"/>
      <c r="D8" s="66" t="n"/>
      <c r="E8" s="66" t="n"/>
      <c r="F8" s="66" t="n"/>
    </row>
    <row r="9" ht="8" customHeight="1"/>
    <row r="10" ht="20" customHeight="1">
      <c r="A10" s="86" t="inlineStr">
        <is>
          <t>RISK EXPOSURE CALCULATION</t>
        </is>
      </c>
      <c r="B10" s="8" t="n"/>
      <c r="C10" s="8" t="n"/>
      <c r="D10" s="8" t="n"/>
      <c r="E10" s="8" t="n"/>
      <c r="F10" s="9" t="n"/>
    </row>
    <row r="11" ht="30" customHeight="1">
      <c r="A11" s="10" t="inlineStr">
        <is>
          <t>Risk Category</t>
        </is>
      </c>
      <c r="B11" s="10" t="inlineStr">
        <is>
          <t>Annual Exposure
(Without Cleanup)</t>
        </is>
      </c>
      <c r="C11" s="10" t="inlineStr">
        <is>
          <t>3-Year Cumulative</t>
        </is>
      </c>
      <c r="D11" s="10" t="inlineStr">
        <is>
          <t>Event Risk
(Worst Case)</t>
        </is>
      </c>
      <c r="E11" s="10" t="inlineStr">
        <is>
          <t>HandoverOS
Prevention Value</t>
        </is>
      </c>
      <c r="F11" s="10" t="inlineStr">
        <is>
          <t>Source</t>
        </is>
      </c>
    </row>
    <row r="12" ht="34" customHeight="1">
      <c r="A12" s="32" t="inlineStr">
        <is>
          <t>Revenue Leakage (ongoing)
— 3% of ARR annually</t>
        </is>
      </c>
      <c r="B12" s="16">
        <f>B5*0.03</f>
        <v/>
      </c>
      <c r="C12" s="91">
        <f>B12*3</f>
        <v/>
      </c>
      <c r="D12" s="92">
        <f>B5*0.05*3</f>
        <v/>
      </c>
      <c r="E12" s="93">
        <f>C12*0.85</f>
        <v/>
      </c>
      <c r="F12" s="78" t="inlineStr">
        <is>
          <t>MGI Research Jan 2026
2–4% recovery potential</t>
        </is>
      </c>
    </row>
    <row r="13" ht="34" customHeight="1">
      <c r="A13" s="28" t="inlineStr">
        <is>
          <t>Migration Risk
— Leakage locked in at go-live</t>
        </is>
      </c>
      <c r="B13" s="16">
        <f>B5*0.03</f>
        <v/>
      </c>
      <c r="C13" s="91">
        <f>B13*3</f>
        <v/>
      </c>
      <c r="D13" s="92">
        <f>B5*0.05*5</f>
        <v/>
      </c>
      <c r="E13" s="93">
        <f>B5*0.03*3*0.85</f>
        <v/>
      </c>
      <c r="F13" s="80" t="inlineStr">
        <is>
          <t>BCG 2020: 45% systemic
MGI: 0.1% error = 1% leak</t>
        </is>
      </c>
    </row>
    <row r="14" ht="34" customHeight="1">
      <c r="A14" s="32" t="inlineStr">
        <is>
          <t>Restatement Cost
— If &gt;5% revenue threshold breached</t>
        </is>
      </c>
      <c r="B14" s="16">
        <f>IF(B5*0.05&gt;B5*0.05,0,B5*0.05)</f>
        <v/>
      </c>
      <c r="C14" s="91">
        <f>B5*0.05*3</f>
        <v/>
      </c>
      <c r="D14" s="92">
        <f>30000000</f>
        <v/>
      </c>
      <c r="E14" s="93">
        <f>30000000*0.9</f>
        <v/>
      </c>
      <c r="F14" s="78" t="inlineStr">
        <is>
          <t>Hertz precedent: $30M
Palmrose 2004: −9% stock</t>
        </is>
      </c>
    </row>
    <row r="15" ht="34" customHeight="1">
      <c r="A15" s="28" t="inlineStr">
        <is>
          <t>Stock Price Impact
— 9% decline on restatement announcement</t>
        </is>
      </c>
      <c r="B15" s="16">
        <f>B6*0.09</f>
        <v/>
      </c>
      <c r="C15" s="91">
        <f>B14*1</f>
        <v/>
      </c>
      <c r="D15" s="92">
        <f>B6*0.15</f>
        <v/>
      </c>
      <c r="E15" s="93">
        <f>B6*0.09*0.95</f>
        <v/>
      </c>
      <c r="F15" s="80" t="inlineStr">
        <is>
          <t>Palmrose et al. 2004
RevRec specific: −10–15%</t>
        </is>
      </c>
    </row>
    <row r="16" ht="34" customHeight="1">
      <c r="A16" s="32" t="inlineStr">
        <is>
          <t>M&amp;A Deal Risk
— QoE EBITDA discrepancy kills LOI</t>
        </is>
      </c>
      <c r="B16" s="16">
        <f>B6*0.213</f>
        <v/>
      </c>
      <c r="C16" s="91">
        <f>B16*1</f>
        <v/>
      </c>
      <c r="D16" s="92">
        <f>B6*0.50</f>
        <v/>
      </c>
      <c r="E16" s="93">
        <f>B6*0.213*0.90</f>
        <v/>
      </c>
      <c r="F16" s="78" t="inlineStr">
        <is>
          <t>Axial Jan 2026:
21.3% of LOIs broken on QoE</t>
        </is>
      </c>
    </row>
    <row r="17" ht="34" customHeight="1">
      <c r="A17" s="28" t="inlineStr">
        <is>
          <t>Non-QoE Deal Risk
— Contract issues kill LOI</t>
        </is>
      </c>
      <c r="B17" s="16">
        <f>B6*0.253</f>
        <v/>
      </c>
      <c r="C17" s="91">
        <f>B17*1</f>
        <v/>
      </c>
      <c r="D17" s="92">
        <f>B6*0.50</f>
        <v/>
      </c>
      <c r="E17" s="93">
        <f>B6*0.253*0.90</f>
        <v/>
      </c>
      <c r="F17" s="80" t="inlineStr">
        <is>
          <t>Axial Jan 2026:
25.3% = #1 deal breaker</t>
        </is>
      </c>
    </row>
    <row r="18" ht="34" customHeight="1">
      <c r="A18" s="32" t="inlineStr">
        <is>
          <t>IPO Material Weakness
— Delay / valuation discount</t>
        </is>
      </c>
      <c r="B18" s="16">
        <f>B6*0.15</f>
        <v/>
      </c>
      <c r="C18" s="91">
        <f>B18*1</f>
        <v/>
      </c>
      <c r="D18" s="92">
        <f>B6*0.30</f>
        <v/>
      </c>
      <c r="E18" s="93">
        <f>B6*0.15*0.85</f>
        <v/>
      </c>
      <c r="F18" s="78" t="inlineStr">
        <is>
          <t>KPMG 2025: 44% of IPOs
disclose material weakness</t>
        </is>
      </c>
    </row>
    <row r="19" ht="34" customHeight="1">
      <c r="A19" s="28" t="inlineStr">
        <is>
          <t>AI-on-Dirty-Data
— Compounding leakage from wrong training data</t>
        </is>
      </c>
      <c r="B19" s="16">
        <f>B5*0.03*1.5</f>
        <v/>
      </c>
      <c r="C19" s="91">
        <f>B19*3</f>
        <v/>
      </c>
      <c r="D19" s="92">
        <f>B5*0.05*5</f>
        <v/>
      </c>
      <c r="E19" s="93">
        <f>B19*3*0.85</f>
        <v/>
      </c>
      <c r="F19" s="80" t="inlineStr">
        <is>
          <t>EY 2025: 80% data not
AI-ready · MGI Dirty Data</t>
        </is>
      </c>
    </row>
    <row r="20" ht="30" customHeight="1">
      <c r="A20" s="94" t="inlineStr">
        <is>
          <t>TOTAL RISK EXPOSURE</t>
        </is>
      </c>
      <c r="B20" s="95">
        <f>SUM(B12:B19)</f>
        <v/>
      </c>
      <c r="C20" s="95">
        <f>SUM(C12:C19)</f>
        <v/>
      </c>
      <c r="D20" s="95">
        <f>SUM(D12:D19)</f>
        <v/>
      </c>
      <c r="E20" s="95">
        <f>SUM(E12:E19)</f>
        <v/>
      </c>
      <c r="F20" s="96" t="inlineStr"/>
    </row>
    <row r="21" ht="8" customHeight="1"/>
    <row r="22" ht="24" customHeight="1">
      <c r="A22" s="97" t="inlineStr">
        <is>
          <t>HANDOVEROS ROI vs. RISK EXPOSURE</t>
        </is>
      </c>
      <c r="B22" s="8" t="n"/>
      <c r="C22" s="8" t="n"/>
      <c r="D22" s="8" t="n"/>
      <c r="E22" s="8" t="n"/>
      <c r="F22" s="9" t="n"/>
    </row>
    <row r="23" ht="26" customHeight="1">
      <c r="A23" s="87" t="inlineStr">
        <is>
          <t>Total Preventable Annual Risk Exposure</t>
        </is>
      </c>
      <c r="B23" s="98">
        <f>B20</f>
        <v/>
      </c>
      <c r="C23" s="103" t="n"/>
      <c r="D23" s="66" t="n"/>
      <c r="E23" s="66" t="n"/>
      <c r="F23" s="66" t="n"/>
    </row>
    <row r="24" ht="26" customHeight="1">
      <c r="A24" s="87" t="inlineStr">
        <is>
          <t>Total 3-Year Cumulative Risk</t>
        </is>
      </c>
      <c r="B24" s="98">
        <f>C20</f>
        <v/>
      </c>
      <c r="C24" s="103" t="n"/>
      <c r="D24" s="66" t="n"/>
      <c r="E24" s="66" t="n"/>
      <c r="F24" s="66" t="n"/>
    </row>
    <row r="25" ht="26" customHeight="1">
      <c r="A25" s="87" t="inlineStr">
        <is>
          <t>Total Worst-Case Event Risk</t>
        </is>
      </c>
      <c r="B25" s="98">
        <f>D20</f>
        <v/>
      </c>
      <c r="C25" s="103" t="n"/>
      <c r="D25" s="66" t="n"/>
      <c r="E25" s="66" t="n"/>
      <c r="F25" s="66" t="n"/>
    </row>
    <row r="26" ht="26" customHeight="1">
      <c r="A26" s="87" t="inlineStr">
        <is>
          <t>HandoverOS Prevention Value (3 Years)</t>
        </is>
      </c>
      <c r="B26" s="99">
        <f>E20</f>
        <v/>
      </c>
      <c r="C26" s="103" t="n"/>
      <c r="D26" s="66" t="n"/>
      <c r="E26" s="66" t="n"/>
      <c r="F26" s="66" t="n"/>
    </row>
    <row r="27" ht="26" customHeight="1">
      <c r="A27" s="87" t="inlineStr">
        <is>
          <t>HandoverOS Platform Cost (Est. 3 Years)</t>
        </is>
      </c>
      <c r="B27" s="100" t="inlineStr">
        <is>
          <t>300000</t>
        </is>
      </c>
      <c r="C27" s="103" t="n"/>
      <c r="D27" s="66" t="n"/>
      <c r="E27" s="66" t="n"/>
      <c r="F27" s="66" t="n"/>
    </row>
    <row r="28" ht="26" customHeight="1">
      <c r="A28" s="87" t="inlineStr">
        <is>
          <t>Net Risk-Adjusted ROI</t>
        </is>
      </c>
      <c r="B28" s="101">
        <f>E20-300000</f>
        <v/>
      </c>
      <c r="C28" s="103" t="n"/>
      <c r="D28" s="66" t="n"/>
      <c r="E28" s="66" t="n"/>
      <c r="F28" s="66" t="n"/>
    </row>
    <row r="29" ht="26" customHeight="1">
      <c r="A29" s="87" t="inlineStr">
        <is>
          <t>Prevention Value as % of Worst-Case Risk</t>
        </is>
      </c>
      <c r="B29" s="102">
        <f>E20/D20</f>
        <v/>
      </c>
      <c r="C29" s="103" t="n"/>
      <c r="D29" s="66" t="n"/>
      <c r="E29" s="66" t="n"/>
      <c r="F29" s="66" t="n"/>
    </row>
    <row r="30" ht="8" customHeight="1"/>
    <row r="31" ht="48" customHeight="1">
      <c r="A31" s="25" t="inlineStr">
        <is>
          <t>NOTE: Risk rows are additive for illustrative purposes but are not all mutually exclusive — the same leakage scenario may trigger both a QoE discrepancy AND a restatement risk. Use individual rows for specific scenario analysis. Sources: MGI Research Revenue Leakage Series Jan 2026 · KPMG Material Weakness Study May 2025 · Axial Dead Deal Report Jan 2026 · Palmrose, Richardson &amp; Scholz (2004) Journal of Accounting &amp; Economics · Cleary Gottlieb SEC Enforcement Review Jan 2026 · EY Tax &amp; Finance Operations Survey Nov 2025.</t>
        </is>
      </c>
    </row>
  </sheetData>
  <mergeCells count="13">
    <mergeCell ref="A2:F2"/>
    <mergeCell ref="B24:C24"/>
    <mergeCell ref="A10:F10"/>
    <mergeCell ref="B29:C29"/>
    <mergeCell ref="B25:C25"/>
    <mergeCell ref="A1:F1"/>
    <mergeCell ref="B28:C28"/>
    <mergeCell ref="B23:C23"/>
    <mergeCell ref="A31:F31"/>
    <mergeCell ref="A22:F22"/>
    <mergeCell ref="A4:F4"/>
    <mergeCell ref="B26:C26"/>
    <mergeCell ref="B27:C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0" customWidth="1" min="1" max="1"/>
    <col width="20" customWidth="1" min="2" max="2"/>
    <col width="16" customWidth="1" min="3" max="3"/>
    <col width="16" customWidth="1" min="4" max="4"/>
    <col width="16" customWidth="1" min="5" max="5"/>
    <col width="22" customWidth="1" min="6" max="6"/>
    <col width="26" customWidth="1" min="7" max="7"/>
  </cols>
  <sheetData>
    <row r="1" ht="32" customHeight="1">
      <c r="A1" s="104" t="inlineStr">
        <is>
          <t>HandoverOS  |  Assumptions &amp; Methodology Register</t>
        </is>
      </c>
      <c r="B1" s="8" t="n"/>
      <c r="C1" s="8" t="n"/>
      <c r="D1" s="8" t="n"/>
      <c r="E1" s="8" t="n"/>
      <c r="F1" s="8" t="n"/>
      <c r="G1" s="9" t="n"/>
    </row>
    <row r="2" ht="28" customHeight="1">
      <c r="A2" s="105" t="inlineStr">
        <is>
          <t>This tab separates verified primary-source statistics from modeled assumptions. All assumptions include a conservative/base/optimistic range for sensitivity analysis. Use this tab to disclose methodology in board decks, investor presentations, or customer business cases.</t>
        </is>
      </c>
      <c r="B2" s="106" t="n"/>
      <c r="C2" s="106" t="n"/>
      <c r="D2" s="106" t="n"/>
      <c r="E2" s="106" t="n"/>
      <c r="F2" s="106" t="n"/>
      <c r="G2" s="103" t="n"/>
    </row>
    <row r="3" ht="8" customHeight="1">
      <c r="A3" s="107" t="n"/>
      <c r="B3" s="107" t="n"/>
      <c r="C3" s="107" t="n"/>
      <c r="D3" s="107" t="n"/>
      <c r="E3" s="107" t="n"/>
      <c r="F3" s="107" t="n"/>
      <c r="G3" s="107" t="n"/>
    </row>
    <row r="4" ht="22" customHeight="1">
      <c r="A4" s="108" t="inlineStr">
        <is>
          <t>SECTION 1  —  Verified Primary-Source Statistics  (Used As-Is, No Modification)</t>
        </is>
      </c>
      <c r="B4" s="8" t="n"/>
      <c r="C4" s="8" t="n"/>
      <c r="D4" s="8" t="n"/>
      <c r="E4" s="8" t="n"/>
      <c r="F4" s="8" t="n"/>
      <c r="G4" s="9" t="n"/>
    </row>
    <row r="5" ht="26" customHeight="1">
      <c r="A5" s="10" t="inlineStr">
        <is>
          <t>Statistic</t>
        </is>
      </c>
      <c r="B5" s="10" t="inlineStr">
        <is>
          <t>Value Used</t>
        </is>
      </c>
      <c r="C5" s="10" t="inlineStr">
        <is>
          <t>Primary Source</t>
        </is>
      </c>
      <c r="D5" s="10" t="inlineStr">
        <is>
          <t>Publication Date</t>
        </is>
      </c>
      <c r="E5" s="10" t="inlineStr">
        <is>
          <t>Sample Size</t>
        </is>
      </c>
      <c r="F5" s="10" t="inlineStr">
        <is>
          <t>URL</t>
        </is>
      </c>
      <c r="G5" s="10" t="inlineStr">
        <is>
          <t>How Applied in Model</t>
        </is>
      </c>
    </row>
    <row r="6" ht="44" customHeight="1">
      <c r="A6" s="32" t="inlineStr">
        <is>
          <t>Annual revenue leakage rate — low end</t>
        </is>
      </c>
      <c r="B6" s="109" t="inlineStr">
        <is>
          <t>1% of ARR</t>
        </is>
      </c>
      <c r="C6" s="18" t="inlineStr">
        <is>
          <t>MGI Research Revenue Leakage Series</t>
        </is>
      </c>
      <c r="D6" s="110" t="inlineStr">
        <is>
          <t>Dec 19 2025</t>
        </is>
      </c>
      <c r="E6" s="18" t="inlineStr">
        <is>
          <t>Multi-industry enterprise analysis</t>
        </is>
      </c>
      <c r="F6" s="35" t="inlineStr">
        <is>
          <t>mgiresearch.com/research/revenue-leakage-series-part-1</t>
        </is>
      </c>
      <c r="G6" s="34" t="inlineStr">
        <is>
          <t>Conservative column in ARR exposure tables</t>
        </is>
      </c>
    </row>
    <row r="7" ht="44" customHeight="1">
      <c r="A7" s="28" t="inlineStr">
        <is>
          <t>Annual revenue leakage rate — base</t>
        </is>
      </c>
      <c r="B7" s="109" t="inlineStr">
        <is>
          <t>3% of ARR</t>
        </is>
      </c>
      <c r="C7" s="24" t="inlineStr">
        <is>
          <t>MGI Research Revenue Leakage Series</t>
        </is>
      </c>
      <c r="D7" s="111" t="inlineStr">
        <is>
          <t>Dec 19 2025</t>
        </is>
      </c>
      <c r="E7" s="24" t="inlineStr">
        <is>
          <t>Multi-industry enterprise analysis</t>
        </is>
      </c>
      <c r="F7" s="31" t="inlineStr">
        <is>
          <t>mgiresearch.com/research/revenue-leakage-series-part-1</t>
        </is>
      </c>
      <c r="G7" s="30" t="inlineStr">
        <is>
          <t>Base case in all leakage and ROI calculations</t>
        </is>
      </c>
    </row>
    <row r="8" ht="44" customHeight="1">
      <c r="A8" s="32" t="inlineStr">
        <is>
          <t>Annual revenue leakage rate — high end</t>
        </is>
      </c>
      <c r="B8" s="109" t="inlineStr">
        <is>
          <t>5% of ARR</t>
        </is>
      </c>
      <c r="C8" s="18" t="inlineStr">
        <is>
          <t>MGI Research Revenue Leakage Series</t>
        </is>
      </c>
      <c r="D8" s="110" t="inlineStr">
        <is>
          <t>Dec 19 2025</t>
        </is>
      </c>
      <c r="E8" s="18" t="inlineStr">
        <is>
          <t>Multi-industry enterprise analysis</t>
        </is>
      </c>
      <c r="F8" s="35" t="inlineStr">
        <is>
          <t>mgiresearch.com/research/revenue-leakage-series-part-1</t>
        </is>
      </c>
      <c r="G8" s="34" t="inlineStr">
        <is>
          <t>High-risk column and worst-case event exposure</t>
        </is>
      </c>
    </row>
    <row r="9" ht="44" customHeight="1">
      <c r="A9" s="28" t="inlineStr">
        <is>
          <t>Restatement trigger threshold</t>
        </is>
      </c>
      <c r="B9" s="109" t="inlineStr">
        <is>
          <t>5% of revenue
10% of EBITDA</t>
        </is>
      </c>
      <c r="C9" s="24" t="inlineStr">
        <is>
          <t>MGI Research / SEC SAB 99</t>
        </is>
      </c>
      <c r="D9" s="111" t="inlineStr">
        <is>
          <t>Jan 6 2026</t>
        </is>
      </c>
      <c r="E9" s="24" t="inlineStr">
        <is>
          <t>SEC materiality rule of thumb</t>
        </is>
      </c>
      <c r="F9" s="31" t="inlineStr">
        <is>
          <t>mgiresearch.com/research/revenue-leakage-series-part-4</t>
        </is>
      </c>
      <c r="G9" s="30" t="inlineStr">
        <is>
          <t>Restatement risk row trigger in Risk Calculator</t>
        </is>
      </c>
    </row>
    <row r="10" ht="44" customHeight="1">
      <c r="A10" s="32" t="inlineStr">
        <is>
          <t>Data error multiplier</t>
        </is>
      </c>
      <c r="B10" s="109" t="inlineStr">
        <is>
          <t>0.1% error rate =
1%+ revenue leakage</t>
        </is>
      </c>
      <c r="C10" s="18" t="inlineStr">
        <is>
          <t>MGI Research — Dirty Data Kills</t>
        </is>
      </c>
      <c r="D10" s="110" t="inlineStr">
        <is>
          <t>2024</t>
        </is>
      </c>
      <c r="E10" s="18" t="inlineStr">
        <is>
          <t>Primary analysis</t>
        </is>
      </c>
      <c r="F10" s="35" t="inlineStr">
        <is>
          <t>mgiresearch.com/research/dirty-data-kills</t>
        </is>
      </c>
      <c r="G10" s="34" t="inlineStr">
        <is>
          <t>AI-on-dirty-data risk row; data quality impact framing</t>
        </is>
      </c>
    </row>
    <row r="11" ht="44" customHeight="1">
      <c r="A11" s="28" t="inlineStr">
        <is>
          <t>Recovery potential from leakage assurance</t>
        </is>
      </c>
      <c r="B11" s="109" t="inlineStr">
        <is>
          <t>2–4% of revenue</t>
        </is>
      </c>
      <c r="C11" s="24" t="inlineStr">
        <is>
          <t>MGI Research Revenue Assurance Webinar</t>
        </is>
      </c>
      <c r="D11" s="111" t="inlineStr">
        <is>
          <t>Jun 26 2025</t>
        </is>
      </c>
      <c r="E11" s="24" t="inlineStr">
        <is>
          <t>Enterprise program outcomes</t>
        </is>
      </c>
      <c r="F11" s="31" t="inlineStr">
        <is>
          <t>mgiresearch.com/webinar/revenue-leakage</t>
        </is>
      </c>
      <c r="G11" s="30" t="inlineStr">
        <is>
          <t>HandoverOS recovery rate lower bound assumption</t>
        </is>
      </c>
    </row>
    <row r="12" ht="44" customHeight="1">
      <c r="A12" s="32" t="inlineStr">
        <is>
          <t>BCG: leakage described as systemic</t>
        </is>
      </c>
      <c r="B12" s="109" t="inlineStr">
        <is>
          <t>45% of 2,000+
business leaders</t>
        </is>
      </c>
      <c r="C12" s="18" t="inlineStr">
        <is>
          <t>BCG Revenue Assurance Survey</t>
        </is>
      </c>
      <c r="D12" s="110" t="inlineStr">
        <is>
          <t>July 2020</t>
        </is>
      </c>
      <c r="E12" s="18" t="inlineStr">
        <is>
          <t>N=2,000+ international</t>
        </is>
      </c>
      <c r="F12" s="35" t="inlineStr">
        <is>
          <t>web-assets.bcg.com/.../revenue-assurance-july-2020.pdf</t>
        </is>
      </c>
      <c r="G12" s="34" t="inlineStr">
        <is>
          <t>Market size validation; buyer awareness framing</t>
        </is>
      </c>
    </row>
    <row r="13" ht="44" customHeight="1">
      <c r="A13" s="28" t="inlineStr">
        <is>
          <t>BCG: no automated revenue assurance</t>
        </is>
      </c>
      <c r="B13" s="109" t="inlineStr">
        <is>
          <t>73% of companies</t>
        </is>
      </c>
      <c r="C13" s="24" t="inlineStr">
        <is>
          <t>BCG Revenue Assurance Survey</t>
        </is>
      </c>
      <c r="D13" s="111" t="inlineStr">
        <is>
          <t>July 2020</t>
        </is>
      </c>
      <c r="E13" s="24" t="inlineStr">
        <is>
          <t>N=2,000+ international</t>
        </is>
      </c>
      <c r="F13" s="31" t="inlineStr">
        <is>
          <t>web-assets.bcg.com/.../revenue-assurance-july-2020.pdf</t>
        </is>
      </c>
      <c r="G13" s="30" t="inlineStr">
        <is>
          <t>TAM validation — target market has no automation</t>
        </is>
      </c>
    </row>
    <row r="14" ht="44" customHeight="1">
      <c r="A14" s="32" t="inlineStr">
        <is>
          <t>BCG: standalone recovery program outcome</t>
        </is>
      </c>
      <c r="B14" s="109" t="inlineStr">
        <is>
          <t>3–5% revenue increase</t>
        </is>
      </c>
      <c r="C14" s="18" t="inlineStr">
        <is>
          <t>BCG Revenue Assurance Survey</t>
        </is>
      </c>
      <c r="D14" s="110" t="inlineStr">
        <is>
          <t>July 2020</t>
        </is>
      </c>
      <c r="E14" s="18" t="inlineStr">
        <is>
          <t>Client engagements</t>
        </is>
      </c>
      <c r="F14" s="35" t="inlineStr">
        <is>
          <t>web-assets.bcg.com/.../revenue-assurance-july-2020.pdf</t>
        </is>
      </c>
      <c r="G14" s="34" t="inlineStr">
        <is>
          <t>Recovery rate upper bound in ROI calculations</t>
        </is>
      </c>
    </row>
    <row r="15" ht="44" customHeight="1">
      <c r="A15" s="28" t="inlineStr">
        <is>
          <t>BCG: maximum recovery potential</t>
        </is>
      </c>
      <c r="B15" s="109" t="inlineStr">
        <is>
          <t>Up to 10% of revenue</t>
        </is>
      </c>
      <c r="C15" s="24" t="inlineStr">
        <is>
          <t>BCG Revenue Assurance Survey</t>
        </is>
      </c>
      <c r="D15" s="111" t="inlineStr">
        <is>
          <t>July 2020</t>
        </is>
      </c>
      <c r="E15" s="24" t="inlineStr">
        <is>
          <t>Client engagements</t>
        </is>
      </c>
      <c r="F15" s="31" t="inlineStr">
        <is>
          <t>web-assets.bcg.com/.../revenue-assurance-july-2020.pdf</t>
        </is>
      </c>
      <c r="G15" s="30" t="inlineStr">
        <is>
          <t>Best-case ceiling for large enterprise deployments</t>
        </is>
      </c>
    </row>
    <row r="16" ht="44" customHeight="1">
      <c r="A16" s="32" t="inlineStr">
        <is>
          <t>IPOs disclosing material weaknesses</t>
        </is>
      </c>
      <c r="B16" s="109" t="inlineStr">
        <is>
          <t>44% of 122 IPOs
in 2023</t>
        </is>
      </c>
      <c r="C16" s="18" t="inlineStr">
        <is>
          <t>KPMG 2024 IPO Material
Weakness Study</t>
        </is>
      </c>
      <c r="D16" s="110" t="inlineStr">
        <is>
          <t>May 2025</t>
        </is>
      </c>
      <c r="E16" s="18" t="inlineStr">
        <is>
          <t>N=569 IPOs, 2021–2023</t>
        </is>
      </c>
      <c r="F16" s="35" t="inlineStr">
        <is>
          <t>kpmg.com/us/en/articles/2025/2024-ipo-material-weakness-study.html</t>
        </is>
      </c>
      <c r="G16" s="34" t="inlineStr">
        <is>
          <t>IPO risk row in Decision Risk Framework</t>
        </is>
      </c>
    </row>
    <row r="17" ht="44" customHeight="1">
      <c r="A17" s="28" t="inlineStr">
        <is>
          <t>Restatements at decade high</t>
        </is>
      </c>
      <c r="B17" s="109" t="inlineStr">
        <is>
          <t>140 public companies
restated in early 2024</t>
        </is>
      </c>
      <c r="C17" s="24" t="inlineStr">
        <is>
          <t>KPMG Technical Accounting
Report</t>
        </is>
      </c>
      <c r="D17" s="111" t="inlineStr">
        <is>
          <t>2025</t>
        </is>
      </c>
      <c r="E17" s="24" t="inlineStr">
        <is>
          <t>Public company filings</t>
        </is>
      </c>
      <c r="F17" s="31" t="inlineStr">
        <is>
          <t>kpmg.com/us/en/articles/2025/tackling-complex-technical-accounting-reporting-challenges.html</t>
        </is>
      </c>
      <c r="G17" s="30" t="inlineStr">
        <is>
          <t>Restatement frequency context in risk narrative</t>
        </is>
      </c>
    </row>
    <row r="18" ht="44" customHeight="1">
      <c r="A18" s="32" t="inlineStr">
        <is>
          <t>Restatements up 7% YoY;
Big R at 9-year high</t>
        </is>
      </c>
      <c r="B18" s="45" t="inlineStr">
        <is>
          <t>7% increase; Big R
at 9-year high</t>
        </is>
      </c>
      <c r="C18" s="18" t="inlineStr">
        <is>
          <t>Ideagen Audit Analytics
(via Financial Times / Deep Quarry)</t>
        </is>
      </c>
      <c r="D18" s="110" t="inlineStr">
        <is>
          <t>Dec 2024</t>
        </is>
      </c>
      <c r="E18" s="18" t="inlineStr">
        <is>
          <t>All SEC registrants</t>
        </is>
      </c>
      <c r="F18" s="35" t="inlineStr">
        <is>
          <t>deepquarry.substack.com (secondary — original: Audit Analytics)</t>
        </is>
      </c>
      <c r="G18" s="112" t="inlineStr">
        <is>
          <t>⚠ SECONDARY SOURCE — cite as 'Audit Analytics via FT Dec 2024'</t>
        </is>
      </c>
    </row>
    <row r="19" ht="44" customHeight="1">
      <c r="A19" s="28" t="inlineStr">
        <is>
          <t>Stock price decline on
restatement announcement</t>
        </is>
      </c>
      <c r="B19" s="109" t="inlineStr">
        <is>
          <t>−9% average over
2-day window</t>
        </is>
      </c>
      <c r="C19" s="24" t="inlineStr">
        <is>
          <t>Palmrose, Richardson &amp; Scholz
Journal of Accounting &amp; Economics</t>
        </is>
      </c>
      <c r="D19" s="111" t="inlineStr">
        <is>
          <t>2004</t>
        </is>
      </c>
      <c r="E19" s="24" t="inlineStr">
        <is>
          <t>N=403 restatements, 1995–1999</t>
        </is>
      </c>
      <c r="F19" s="31" t="inlineStr">
        <is>
          <t>sciencedirect.com/science/article/abs/pii/S0165410103000594</t>
        </is>
      </c>
      <c r="G19" s="30" t="inlineStr">
        <is>
          <t>Stock price impact row in Risk Calculator. Foundational academic reference.</t>
        </is>
      </c>
    </row>
    <row r="20" ht="44" customHeight="1">
      <c r="A20" s="32" t="inlineStr">
        <is>
          <t>RevRec-specific stock decline</t>
        </is>
      </c>
      <c r="B20" s="45" t="inlineStr">
        <is>
          <t>−10–15% (sharper
than average)</t>
        </is>
      </c>
      <c r="C20" s="18" t="inlineStr">
        <is>
          <t>Audit Analytics (via IPOHub)</t>
        </is>
      </c>
      <c r="D20" s="110" t="inlineStr">
        <is>
          <t>Various</t>
        </is>
      </c>
      <c r="E20" s="18" t="inlineStr">
        <is>
          <t>Revenue recognition restatements</t>
        </is>
      </c>
      <c r="F20" s="35" t="inlineStr">
        <is>
          <t>ipohub.org/article/restatement-effect-and-prevention</t>
        </is>
      </c>
      <c r="G20" s="112" t="inlineStr">
        <is>
          <t>⚠ SECONDARY — use as directional context only</t>
        </is>
      </c>
    </row>
    <row r="21" ht="44" customHeight="1">
      <c r="A21" s="28" t="inlineStr">
        <is>
          <t>M&amp;A: QoE EBITDA discrepancy
breaks LOI</t>
        </is>
      </c>
      <c r="B21" s="109" t="inlineStr">
        <is>
          <t>21.3% of broken LOIs
in 2025</t>
        </is>
      </c>
      <c r="C21" s="24" t="inlineStr">
        <is>
          <t>Axial Dead Deal Report</t>
        </is>
      </c>
      <c r="D21" s="111" t="inlineStr">
        <is>
          <t>Jan 27 2026</t>
        </is>
      </c>
      <c r="E21" s="24" t="inlineStr">
        <is>
          <t>N=75 transactions</t>
        </is>
      </c>
      <c r="F21" s="31" t="inlineStr">
        <is>
          <t>axial.net/forum/dead-deal-report-unpacking-2025s-broken-lois</t>
        </is>
      </c>
      <c r="G21" s="30" t="inlineStr">
        <is>
          <t>M&amp;A QoE risk row in calculator and framework</t>
        </is>
      </c>
    </row>
    <row r="22" ht="44" customHeight="1">
      <c r="A22" s="32" t="inlineStr">
        <is>
          <t>M&amp;A: Non-QoE contract findings
break LOI</t>
        </is>
      </c>
      <c r="B22" s="109" t="inlineStr">
        <is>
          <t>25.3% of broken LOIs
in 2025 — #1 cause</t>
        </is>
      </c>
      <c r="C22" s="18" t="inlineStr">
        <is>
          <t>Axial Dead Deal Report</t>
        </is>
      </c>
      <c r="D22" s="110" t="inlineStr">
        <is>
          <t>Jan 27 2026</t>
        </is>
      </c>
      <c r="E22" s="18" t="inlineStr">
        <is>
          <t>N=75 transactions</t>
        </is>
      </c>
      <c r="F22" s="35" t="inlineStr">
        <is>
          <t>axial.net/forum/dead-deal-report-unpacking-2025s-broken-lois</t>
        </is>
      </c>
      <c r="G22" s="34" t="inlineStr">
        <is>
          <t>Non-QoE contract risk row — #1 deal failure driver</t>
        </is>
      </c>
    </row>
    <row r="23" ht="44" customHeight="1">
      <c r="A23" s="28" t="inlineStr">
        <is>
          <t>Finance data not AI-ready</t>
        </is>
      </c>
      <c r="B23" s="109" t="inlineStr">
        <is>
          <t>80% of finance data
not ready for AI</t>
        </is>
      </c>
      <c r="C23" s="24" t="inlineStr">
        <is>
          <t>EY Tax &amp; Finance Operations
Survey (via CFO Dive)</t>
        </is>
      </c>
      <c r="D23" s="111" t="inlineStr">
        <is>
          <t>Nov 2025</t>
        </is>
      </c>
      <c r="E23" s="24" t="inlineStr">
        <is>
          <t>N=1,600 CFOs, 30 jurisdictions</t>
        </is>
      </c>
      <c r="F23" s="31" t="inlineStr">
        <is>
          <t>ey.com/en_gl/insights/tax/tfo-survey</t>
        </is>
      </c>
      <c r="G23" s="30" t="inlineStr">
        <is>
          <t>AI-on-dirty-data risk framing; market readiness</t>
        </is>
      </c>
    </row>
    <row r="24" ht="44" customHeight="1">
      <c r="A24" s="32" t="inlineStr">
        <is>
          <t>Finance functions in early
data maturity</t>
        </is>
      </c>
      <c r="B24" s="109" t="inlineStr">
        <is>
          <t>51% still in early
stages</t>
        </is>
      </c>
      <c r="C24" s="18" t="inlineStr">
        <is>
          <t>EY Tax &amp; Finance Operations
Survey</t>
        </is>
      </c>
      <c r="D24" s="110" t="inlineStr">
        <is>
          <t>Nov 2025</t>
        </is>
      </c>
      <c r="E24" s="18" t="inlineStr">
        <is>
          <t>N=1,600 CFOs, 30 jurisdictions</t>
        </is>
      </c>
      <c r="F24" s="35" t="inlineStr">
        <is>
          <t>ey.com/en_gl/insights/tax/tfo-survey</t>
        </is>
      </c>
      <c r="G24" s="34" t="inlineStr">
        <is>
          <t>TAM validation — majority of customers have unresolved data gaps</t>
        </is>
      </c>
    </row>
    <row r="25" ht="44" customHeight="1">
      <c r="A25" s="28" t="inlineStr">
        <is>
          <t>B2B SaaS contracts with
no price increase provision</t>
        </is>
      </c>
      <c r="B25" s="109" t="inlineStr">
        <is>
          <t>70% have no clause</t>
        </is>
      </c>
      <c r="C25" s="24" t="inlineStr">
        <is>
          <t>Ibbaka Pricing Poll</t>
        </is>
      </c>
      <c r="D25" s="111" t="inlineStr">
        <is>
          <t>2024</t>
        </is>
      </c>
      <c r="E25" s="24" t="inlineStr">
        <is>
          <t>N=136, LinkedIn/professional groups</t>
        </is>
      </c>
      <c r="F25" s="31" t="inlineStr">
        <is>
          <t>ibbaka.com/ibbaka-market-blog/should-you-include-a-price-increase-rider-poll-results</t>
        </is>
      </c>
      <c r="G25" s="30" t="inlineStr">
        <is>
          <t>Scale of S1 scenario (price escalation not applied)</t>
        </is>
      </c>
    </row>
    <row r="26" ht="44" customHeight="1">
      <c r="A26" s="32" t="inlineStr">
        <is>
          <t>SEC enforcement focus on
revenue recognition errors</t>
        </is>
      </c>
      <c r="B26" s="109" t="inlineStr">
        <is>
          <t>Explicitly named as
priority area 2026</t>
        </is>
      </c>
      <c r="C26" s="18" t="inlineStr">
        <is>
          <t>Cleary Gottlieb SEC
Enforcement Review</t>
        </is>
      </c>
      <c r="D26" s="110" t="inlineStr">
        <is>
          <t>Jan 2026</t>
        </is>
      </c>
      <c r="E26" s="18" t="inlineStr">
        <is>
          <t>Analysis of 56 SEC actions</t>
        </is>
      </c>
      <c r="F26" s="35" t="inlineStr">
        <is>
          <t>clearygottlieb.com/news-and-insights/publication-listing/the-shifting-sec-enforcement-landscape-2025-year-in-review</t>
        </is>
      </c>
      <c r="G26" s="34" t="inlineStr">
        <is>
          <t>Regulatory risk escalation context</t>
        </is>
      </c>
    </row>
    <row r="27" ht="44" customHeight="1">
      <c r="A27" s="28" t="inlineStr">
        <is>
          <t>Private mid-market SaaS
EV/Revenue multiple</t>
        </is>
      </c>
      <c r="B27" s="109" t="inlineStr">
        <is>
          <t>4–6x (median ~5x)</t>
        </is>
      </c>
      <c r="C27" s="24" t="inlineStr">
        <is>
          <t>Windsor Drake SaaS
Valuation Report</t>
        </is>
      </c>
      <c r="D27" s="111" t="inlineStr">
        <is>
          <t>Feb 2026</t>
        </is>
      </c>
      <c r="E27" s="24" t="inlineStr">
        <is>
          <t>Private M&amp;A transactions</t>
        </is>
      </c>
      <c r="F27" s="31" t="inlineStr">
        <is>
          <t>windsordrake.com/saas-valuation-multiples</t>
        </is>
      </c>
      <c r="G27" s="30" t="inlineStr">
        <is>
          <t>Valuation impact calculations (replaced prior 7x)</t>
        </is>
      </c>
    </row>
    <row r="28" ht="8" customHeight="1">
      <c r="A28" s="107" t="n"/>
      <c r="B28" s="107" t="n"/>
      <c r="C28" s="107" t="n"/>
      <c r="D28" s="107" t="n"/>
      <c r="E28" s="107" t="n"/>
      <c r="F28" s="107" t="n"/>
      <c r="G28" s="107" t="n"/>
    </row>
    <row r="29" ht="22" customHeight="1">
      <c r="A29" s="113" t="inlineStr">
        <is>
          <t>SECTION 2  —  Modeled Assumptions  (Built by HandoverOS Team — Disclose in Presentations)</t>
        </is>
      </c>
      <c r="B29" s="8" t="n"/>
      <c r="C29" s="8" t="n"/>
      <c r="D29" s="8" t="n"/>
      <c r="E29" s="8" t="n"/>
      <c r="F29" s="8" t="n"/>
      <c r="G29" s="9" t="n"/>
    </row>
    <row r="30" ht="26" customHeight="1">
      <c r="A30" s="10" t="inlineStr">
        <is>
          <t>Assumption</t>
        </is>
      </c>
      <c r="B30" s="10" t="inlineStr">
        <is>
          <t>Value Used in Model</t>
        </is>
      </c>
      <c r="C30" s="10" t="inlineStr">
        <is>
          <t>Conservative</t>
        </is>
      </c>
      <c r="D30" s="10" t="inlineStr">
        <is>
          <t>Base</t>
        </is>
      </c>
      <c r="E30" s="10" t="inlineStr">
        <is>
          <t>Optimistic</t>
        </is>
      </c>
      <c r="F30" s="10" t="inlineStr">
        <is>
          <t>Rationale &amp; Basis</t>
        </is>
      </c>
      <c r="G30" s="10" t="inlineStr">
        <is>
          <t>Recommendation</t>
        </is>
      </c>
    </row>
    <row r="31" ht="58" customHeight="1">
      <c r="A31" s="28" t="inlineStr">
        <is>
          <t>HandoverOS recovery rate
(% of leakage prevented)</t>
        </is>
      </c>
      <c r="B31" s="45" t="inlineStr">
        <is>
          <t>85%</t>
        </is>
      </c>
      <c r="C31" s="110" t="inlineStr">
        <is>
          <t>60%</t>
        </is>
      </c>
      <c r="D31" s="45" t="inlineStr">
        <is>
          <t>85%</t>
        </is>
      </c>
      <c r="E31" s="114" t="inlineStr">
        <is>
          <t>95%</t>
        </is>
      </c>
      <c r="F31" s="115" t="inlineStr">
        <is>
          <t>Constructed from BCG standalone program outcomes (3–5% recovery) and MGI (2–4%). 85% reflects automated detection + resolution workflow vs. manual processes. Not a published statistic.</t>
        </is>
      </c>
      <c r="G31" s="116" t="inlineStr">
        <is>
          <t>Show as range (60–95%) in customer presentations. Replace with customer-specific pilot data when available.</t>
        </is>
      </c>
    </row>
    <row r="32" ht="58" customHeight="1">
      <c r="A32" s="32" t="inlineStr">
        <is>
          <t>AI-on-dirty-data
compounding multiplier</t>
        </is>
      </c>
      <c r="B32" s="45" t="inlineStr">
        <is>
          <t>1.5x base leakage rate</t>
        </is>
      </c>
      <c r="C32" s="110" t="inlineStr">
        <is>
          <t>1.2x</t>
        </is>
      </c>
      <c r="D32" s="45" t="inlineStr">
        <is>
          <t>1.5x</t>
        </is>
      </c>
      <c r="E32" s="114" t="inlineStr">
        <is>
          <t>2.0x</t>
        </is>
      </c>
      <c r="F32" s="117" t="inlineStr">
        <is>
          <t>Constructed from logical argument: AI automation encodes and scales errors faster than manual processes. MGI's 0.1% error = 1% leakage underpins the directional logic. No published multiplier exists for AI-specific compounding.</t>
        </is>
      </c>
      <c r="G32" s="116" t="inlineStr">
        <is>
          <t>Label explicitly as a modeled assumption. Remove from any document where it cannot be explained clearly.</t>
        </is>
      </c>
    </row>
    <row r="33" ht="58" customHeight="1">
      <c r="A33" s="28" t="inlineStr">
        <is>
          <t>IPO valuation discount
for material weakness</t>
        </is>
      </c>
      <c r="B33" s="45" t="inlineStr">
        <is>
          <t>15% of deal value</t>
        </is>
      </c>
      <c r="C33" s="110" t="inlineStr">
        <is>
          <t>10%</t>
        </is>
      </c>
      <c r="D33" s="45" t="inlineStr">
        <is>
          <t>15%</t>
        </is>
      </c>
      <c r="E33" s="114" t="inlineStr">
        <is>
          <t>25%</t>
        </is>
      </c>
      <c r="F33" s="115" t="inlineStr">
        <is>
          <t>Investment banking convention: material weaknesses typically result in 10–25% valuation discounts or IPO delay costs. Not sourced from a specific study — represents practitioner consensus from M&amp;A advisory literature.</t>
        </is>
      </c>
      <c r="G33" s="116" t="inlineStr">
        <is>
          <t>Replace with actual banker guidance for specific transactions. Use as directional framing only in general materials.</t>
        </is>
      </c>
    </row>
    <row r="34" ht="58" customHeight="1">
      <c r="A34" s="32" t="inlineStr">
        <is>
          <t>Hertz restatement cost
as remediation floor</t>
        </is>
      </c>
      <c r="B34" s="45" t="inlineStr">
        <is>
          <t>$30M flat</t>
        </is>
      </c>
      <c r="C34" s="110" t="inlineStr">
        <is>
          <t>$500K</t>
        </is>
      </c>
      <c r="D34" s="45" t="inlineStr">
        <is>
          <t>$5–30M</t>
        </is>
      </c>
      <c r="E34" s="114" t="inlineStr">
        <is>
          <t>$50M+</t>
        </is>
      </c>
      <c r="F34" s="117" t="inlineStr">
        <is>
          <t>Hertz's own 10-K/A filings referenced $30M in consulting, auditing, and legal costs. This is a single high-profile case, not an average. Small company restatements can cost $500K. Large enterprise restatements can exceed $50M.</t>
        </is>
      </c>
      <c r="G34" s="116" t="inlineStr">
        <is>
          <t>Replace with a range ($500K–$50M+) scaled by company size. Do not use $30M as a flat number for small companies.</t>
        </is>
      </c>
    </row>
    <row r="35" ht="58" customHeight="1">
      <c r="A35" s="28" t="inlineStr">
        <is>
          <t>M&amp;A deal value at risk
from QoE discrepancy</t>
        </is>
      </c>
      <c r="B35" s="45" t="inlineStr">
        <is>
          <t>Applied 21.3% rate
directly to deal value</t>
        </is>
      </c>
      <c r="C35" s="110" t="inlineStr">
        <is>
          <t>10%</t>
        </is>
      </c>
      <c r="D35" s="45" t="inlineStr">
        <is>
          <t>21.3%</t>
        </is>
      </c>
      <c r="E35" s="114" t="inlineStr">
        <is>
          <t>50%</t>
        </is>
      </c>
      <c r="F35" s="115" t="inlineStr">
        <is>
          <t>Axial reports 21.3% of LOIs broken by QoE discrepancies — this is a frequency (how often it happens), not a dollar exposure per deal. I applied it as an expected-value multiplier against deal size. This overstates exposure for any single deal but is reasonable as a portfolio-level risk.</t>
        </is>
      </c>
      <c r="G35" s="116" t="inlineStr">
        <is>
          <t>Clarify in presentations: '21.3% of deals with QoE issues fail to close — this is the probability, not the per-deal loss.' Per-deal loss = full deal value if LOI breaks.</t>
        </is>
      </c>
    </row>
    <row r="36" ht="58" customHeight="1">
      <c r="A36" s="32" t="inlineStr">
        <is>
          <t>Non-QoE risk applied
to deal value</t>
        </is>
      </c>
      <c r="B36" s="45" t="inlineStr">
        <is>
          <t>Applied 25.3% rate
directly to deal value</t>
        </is>
      </c>
      <c r="C36" s="110" t="inlineStr">
        <is>
          <t>15%</t>
        </is>
      </c>
      <c r="D36" s="45" t="inlineStr">
        <is>
          <t>25.3%</t>
        </is>
      </c>
      <c r="E36" s="114" t="inlineStr">
        <is>
          <t>50%</t>
        </is>
      </c>
      <c r="F36" s="117" t="inlineStr">
        <is>
          <t>Same methodology as above — Axial frequency rate applied as expected-value multiplier. Same disclosure applies.</t>
        </is>
      </c>
      <c r="G36" s="116" t="inlineStr">
        <is>
          <t>Same as above — clarify probability vs. per-deal loss distinction in customer conversations.</t>
        </is>
      </c>
    </row>
    <row r="37" ht="58" customHeight="1">
      <c r="A37" s="28" t="inlineStr">
        <is>
          <t>HandoverOS 3-year
platform cost</t>
        </is>
      </c>
      <c r="B37" s="45" t="inlineStr">
        <is>
          <t>$300,000</t>
        </is>
      </c>
      <c r="C37" s="110" t="inlineStr">
        <is>
          <t>$150K</t>
        </is>
      </c>
      <c r="D37" s="45" t="inlineStr">
        <is>
          <t>$300K</t>
        </is>
      </c>
      <c r="E37" s="114" t="inlineStr">
        <is>
          <t>$500K</t>
        </is>
      </c>
      <c r="F37" s="115" t="inlineStr">
        <is>
          <t>Constructed estimate based on enterprise SaaS pricing norms for a platform of this complexity. Not a published price — HandoverOS pricing has not been set.</t>
        </is>
      </c>
      <c r="G37" s="116" t="inlineStr">
        <is>
          <t>Replace with actual pricing when established. Until then, label clearly as a placeholder estimate.</t>
        </is>
      </c>
    </row>
    <row r="38" ht="58" customHeight="1">
      <c r="A38" s="32" t="inlineStr">
        <is>
          <t>% of contracts with
data quality issues</t>
        </is>
      </c>
      <c r="B38" s="45" t="inlineStr">
        <is>
          <t>35% default input</t>
        </is>
      </c>
      <c r="C38" s="110" t="inlineStr">
        <is>
          <t>20%</t>
        </is>
      </c>
      <c r="D38" s="45" t="inlineStr">
        <is>
          <t>35%</t>
        </is>
      </c>
      <c r="E38" s="114" t="inlineStr">
        <is>
          <t>60%</t>
        </is>
      </c>
      <c r="F38" s="117" t="inlineStr">
        <is>
          <t>Constructed from EY (51% finance functions in early data maturity) and BCG (45% systemic leakage). 35% reflects mid-range estimate for a typical mid-market SaaS company with 3–7 years of history. Actual rate varies dramatically by company maturity and system history.</t>
        </is>
      </c>
      <c r="G38" s="116" t="inlineStr">
        <is>
          <t>Replace with prospect's own data quality assessment output from HandoverOS onboarding scan. This is the highest-value input to personalize — real numbers make the calculator far more compelling.</t>
        </is>
      </c>
    </row>
    <row r="39" ht="8" customHeight="1">
      <c r="A39" s="107" t="n"/>
      <c r="B39" s="107" t="n"/>
      <c r="C39" s="107" t="n"/>
      <c r="D39" s="107" t="n"/>
      <c r="E39" s="107" t="n"/>
      <c r="F39" s="107" t="n"/>
      <c r="G39" s="107" t="n"/>
    </row>
    <row r="40" ht="22" customHeight="1">
      <c r="A40" s="118" t="inlineStr">
        <is>
          <t>SECTION 3  —  Scenario-to-Source Mapping  (How Each Risk Row Was Constructed)</t>
        </is>
      </c>
      <c r="B40" s="8" t="n"/>
      <c r="C40" s="8" t="n"/>
      <c r="D40" s="8" t="n"/>
      <c r="E40" s="8" t="n"/>
      <c r="F40" s="8" t="n"/>
      <c r="G40" s="9" t="n"/>
    </row>
    <row r="41" ht="26" customHeight="1">
      <c r="A41" s="10" t="inlineStr">
        <is>
          <t>Your Scenario</t>
        </is>
      </c>
      <c r="B41" s="10" t="inlineStr">
        <is>
          <t>Mapped To Source Risk Category</t>
        </is>
      </c>
      <c r="C41" s="10" t="inlineStr">
        <is>
          <t>Direct Citation</t>
        </is>
      </c>
      <c r="D41" s="10" t="inlineStr">
        <is>
          <t>Inference / Gap</t>
        </is>
      </c>
      <c r="E41" s="10" t="inlineStr">
        <is>
          <t>Confidence Level</t>
        </is>
      </c>
      <c r="F41" s="10" t="inlineStr">
        <is>
          <t>Notes</t>
        </is>
      </c>
    </row>
    <row r="42" ht="56" customHeight="1">
      <c r="A42" s="32" t="inlineStr">
        <is>
          <t>Price escalation clause
not applied at renewal</t>
        </is>
      </c>
      <c r="B42" s="18" t="inlineStr">
        <is>
          <t>Billing Leakage (MGI) +
Contract Non-Compliance (BCG)</t>
        </is>
      </c>
      <c r="C42" s="46" t="inlineStr">
        <is>
          <t>BCG: outdated prices propagated in invoices (Industrial Goods example, 2020). Ibbaka: 70% of B2B contracts have no price increase clause (2024).</t>
        </is>
      </c>
      <c r="D42" s="112" t="inlineStr">
        <is>
          <t>Frequency of this specific scenario in SaaS not directly published. Applied MGI 3–5% base leakage rate as the financial impact.</t>
        </is>
      </c>
      <c r="E42" s="109" t="inlineStr">
        <is>
          <t>HIGH — mechanism directly confirmed by BCG client case</t>
        </is>
      </c>
      <c r="F42" s="18" t="inlineStr">
        <is>
          <t>Strongest scenario — two independent primary sources confirm the mechanism.</t>
        </is>
      </c>
    </row>
    <row r="43" ht="56" customHeight="1">
      <c r="A43" s="28" t="inlineStr">
        <is>
          <t>Usage-based tier mismatch
between contract and billing</t>
        </is>
      </c>
      <c r="B43" s="24" t="inlineStr">
        <is>
          <t>Usage Leakage (MGI) +
Billing Configuration Error</t>
        </is>
      </c>
      <c r="C43" s="46" t="inlineStr">
        <is>
          <t>MGI Part 1 (Jan 2026): usage measurement identified as a core AMP failure point. Lago (Feb 2026): tier boundary misalignment 'nearly invisible in aggregate reporting.'</t>
        </is>
      </c>
      <c r="D43" s="112" t="inlineStr">
        <is>
          <t>Specific percentage of usage companies affected not available in primary sources. Lago is a billing platform vendor — potential commercial interest in their data.</t>
        </is>
      </c>
      <c r="E43" s="109" t="inlineStr">
        <is>
          <t>MEDIUM-HIGH — mechanism confirmed, scale not independently verified</t>
        </is>
      </c>
      <c r="F43" s="24" t="inlineStr">
        <is>
          <t>Lago is a secondary source. MGI confirms usage leakage as a category. Treat Lago figures as directional.</t>
        </is>
      </c>
    </row>
    <row r="44" ht="56" customHeight="1">
      <c r="A44" s="32" t="inlineStr">
        <is>
          <t>Billing system amendment
never reflected in contract</t>
        </is>
      </c>
      <c r="B44" s="18" t="inlineStr">
        <is>
          <t>Contract-to-Cash Breakdown (MGI) +
Non-QoE Contract Findings (Axial)</t>
        </is>
      </c>
      <c r="C44" s="46" t="inlineStr">
        <is>
          <t>MGI Part 1: 'Contract-to-Cash process breakdowns caused by system integration gaps.' Axial Jan 2026: contract issues within 25.3% non-QoE LOI failures.</t>
        </is>
      </c>
      <c r="D44" s="112" t="inlineStr">
        <is>
          <t>Axial does not break down which contract issues caused LOI failures. I inferred that undocumented billing amendments are a subset of 'contract issues.' This is a logical inference, not a direct citation.</t>
        </is>
      </c>
      <c r="E44" s="45" t="inlineStr">
        <is>
          <t>MEDIUM — category confirmed, specific sub-type inferred</t>
        </is>
      </c>
      <c r="F44" s="18" t="inlineStr">
        <is>
          <t>Flag in presentations: 'contract issues' per Axial include undocumented amendments but also other problems.</t>
        </is>
      </c>
    </row>
    <row r="45" ht="56" customHeight="1">
      <c r="A45" s="28" t="inlineStr">
        <is>
          <t>Temporary discount made
permanent</t>
        </is>
      </c>
      <c r="B45" s="24" t="inlineStr">
        <is>
          <t>Discount Abuse (MGI) +
Pricing Mismanagement</t>
        </is>
      </c>
      <c r="C45" s="46" t="inlineStr">
        <is>
          <t>MGI Part 1 identifies discount mismanagement as a leakage category. BCG: frontline staff with discretion to change prices as a root cause pattern (2020).</t>
        </is>
      </c>
      <c r="D45" s="112" t="inlineStr">
        <is>
          <t>Dollar impact per instance not published. Applied MGI 3% base rate as proxy.</t>
        </is>
      </c>
      <c r="E45" s="109" t="inlineStr">
        <is>
          <t>HIGH — mechanism confirmed by two sources</t>
        </is>
      </c>
      <c r="F45" s="24" t="inlineStr">
        <is>
          <t>Both BCG and MGI confirm this as a real, common pattern. Dollar size per instance varies widely.</t>
        </is>
      </c>
    </row>
    <row r="46" ht="56" customHeight="1">
      <c r="A46" s="32" t="inlineStr">
        <is>
          <t>Historical data migration
amplifying all scenarios</t>
        </is>
      </c>
      <c r="B46" s="18" t="inlineStr">
        <is>
          <t>All MGI leakage categories +
KPMG Material Weakness +
Axial QoE/Non-QoE</t>
        </is>
      </c>
      <c r="C46" s="46" t="inlineStr">
        <is>
          <t>KPMG: 44% of IPOs disclose material weaknesses (2025). MGI: control deficiency 'affecting majority of companies of all sizes' (Jan 2026). Axial: 21.3% QoE + 25.3% non-QoE = 46.6% of deals broken by data-related issues (Jan 2026).</t>
        </is>
      </c>
      <c r="D46" s="112" t="inlineStr">
        <is>
          <t>Migration specifically not addressed in any source — it is the amplification mechanism I constructed to explain how latent leakage becomes structural. The underlying leakage rates are sourced; the amplification narrative is my framework.</t>
        </is>
      </c>
      <c r="E46" s="109" t="inlineStr">
        <is>
          <t>HIGH for underlying rates; MEDIUM for migration-specific claim</t>
        </is>
      </c>
      <c r="F46" s="18" t="inlineStr">
        <is>
          <t>Be clear in presentations: migration doesn't create new leakage types — it reveals and encodes existing ones.</t>
        </is>
      </c>
    </row>
    <row r="47" ht="56" customHeight="1">
      <c r="A47" s="28" t="inlineStr">
        <is>
          <t>AI-first build on
dirty data</t>
        </is>
      </c>
      <c r="B47" s="24" t="inlineStr">
        <is>
          <t>EY Data Maturity (2025) +
MGI Error Multiplier (2024) +
BCG No-Tooling Finding (2020)</t>
        </is>
      </c>
      <c r="C47" s="46" t="inlineStr">
        <is>
          <t>EY: 80% of finance data not AI-ready (Nov 2025, N=1,600). MGI: 0.1% error = 1% leakage (2024). BCG: 64% have no standardized revenue assurance tools (2020).</t>
        </is>
      </c>
      <c r="D47" s="112" t="inlineStr">
        <is>
          <t>No published research specifically on 'AI trained on bad billing data compounds leakage.' The 1.5x compounding multiplier is my construction based on the logical argument. This is the weakest evidential link in the entire framework.</t>
        </is>
      </c>
      <c r="E47" s="45" t="inlineStr">
        <is>
          <t>MEDIUM — component parts sourced; AI compounding is inferred</t>
        </is>
      </c>
      <c r="F47" s="24" t="inlineStr">
        <is>
          <t>Remove the 1.5x multiplier from any formal financial model. Replace with: 'AI automation without data validation risks encoding and scaling existing errors at speed.' That statement is defensible. The 1.5x number is not.</t>
        </is>
      </c>
    </row>
    <row r="48" ht="8" customHeight="1">
      <c r="A48" s="107" t="n"/>
      <c r="B48" s="107" t="n"/>
      <c r="C48" s="107" t="n"/>
      <c r="D48" s="107" t="n"/>
      <c r="E48" s="107" t="n"/>
      <c r="F48" s="107" t="n"/>
      <c r="G48" s="107" t="n"/>
    </row>
    <row r="49" ht="44" customHeight="1">
      <c r="A49" s="25" t="inlineStr">
        <is>
          <t>SUMMARY: 22 statistics are verified primary sources used as-is. 8 assumptions are modeled constructions that must be disclosed as such. 6 scenario mappings range from HIGH confidence (direct BCG/MGI citation) to MEDIUM (logical inference from category-level data). The 1.5x AI compounding multiplier should be removed from formal financial models and replaced with a qualitative risk statement. All primary source URLs listed above were verified as live and accessible as of April 2026.</t>
        </is>
      </c>
    </row>
  </sheetData>
  <mergeCells count="6">
    <mergeCell ref="A1:G1"/>
    <mergeCell ref="A40:G40"/>
    <mergeCell ref="A4:G4"/>
    <mergeCell ref="A2:G2"/>
    <mergeCell ref="A29:G29"/>
    <mergeCell ref="A49:G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2026-04-20T02:00:48Z</dcterms:created>
  <dcterms:modified xmlns:dcterms="http://purl.org/dc/terms/" xmlns:xsi="http://www.w3.org/2001/XMLSchema-instance" xsi:type="dcterms:W3CDTF">2026-04-20T02:27:09Z</dcterms:modified>
</cp:coreProperties>
</file>